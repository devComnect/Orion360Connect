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olegario\Downloads\"/>
    </mc:Choice>
  </mc:AlternateContent>
  <xr:revisionPtr revIDLastSave="0" documentId="13_ncr:1_{B0DAD6C8-37DB-4D41-99FE-A1092207C6DE}" xr6:coauthVersionLast="47" xr6:coauthVersionMax="47" xr10:uidLastSave="{00000000-0000-0000-0000-000000000000}"/>
  <bookViews>
    <workbookView xWindow="-28920" yWindow="-120" windowWidth="29040" windowHeight="15720" tabRatio="764" activeTab="6" xr2:uid="{14D2BA9B-8FF6-4D46-BF8E-DDA00040DED6}"/>
  </bookViews>
  <sheets>
    <sheet name="Escala" sheetId="5" r:id="rId1"/>
    <sheet name="Configuração" sheetId="2" r:id="rId2"/>
    <sheet name="Dashboard" sheetId="3" r:id="rId3"/>
    <sheet name="Ajuda" sheetId="199" r:id="rId4"/>
    <sheet name="Janeiro" sheetId="200" r:id="rId5"/>
    <sheet name="Fevereiro" sheetId="201" r:id="rId6"/>
    <sheet name="Março" sheetId="202" r:id="rId7"/>
    <sheet name="Abril" sheetId="203" r:id="rId8"/>
    <sheet name="Maio" sheetId="204" r:id="rId9"/>
    <sheet name="Junho" sheetId="205" r:id="rId10"/>
    <sheet name="Julho" sheetId="206" r:id="rId11"/>
    <sheet name="Agosto" sheetId="207" r:id="rId12"/>
    <sheet name="Setembro" sheetId="208" r:id="rId13"/>
    <sheet name="Outubro" sheetId="209" r:id="rId14"/>
    <sheet name="Novembro" sheetId="210" r:id="rId15"/>
    <sheet name="Dezembro" sheetId="211" r:id="rId16"/>
  </sheets>
  <functionGroups builtInGroupCount="19"/>
  <definedNames>
    <definedName name="_xlnm._FilterDatabase" localSheetId="1" hidden="1">Configuração!$B$23:$AC$24</definedName>
    <definedName name="_xlnm._FilterDatabase" localSheetId="2" hidden="1">Dashboard!#REF!</definedName>
    <definedName name="_lTurnos">#REF!</definedName>
    <definedName name="_xleta.IF" hidden="1" xlm="1">#NAME?</definedName>
    <definedName name="lTurno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206" l="1"/>
  <c r="E3" i="205"/>
  <c r="D3" i="203"/>
  <c r="V3" i="203"/>
  <c r="R3" i="201"/>
  <c r="B16" i="211"/>
  <c r="B15" i="211" s="1"/>
  <c r="D6" i="211"/>
  <c r="D7" i="211" s="1"/>
  <c r="AE3" i="211"/>
  <c r="Z3" i="211"/>
  <c r="V3" i="211"/>
  <c r="U3" i="211"/>
  <c r="P3" i="211"/>
  <c r="M3" i="211"/>
  <c r="H3" i="211"/>
  <c r="E3" i="211"/>
  <c r="C3" i="211"/>
  <c r="B3" i="211"/>
  <c r="B16" i="210"/>
  <c r="B15" i="210" s="1"/>
  <c r="D6" i="210"/>
  <c r="D7" i="210" s="1"/>
  <c r="AE3" i="210"/>
  <c r="Z3" i="210"/>
  <c r="V3" i="210"/>
  <c r="U3" i="210"/>
  <c r="P3" i="210"/>
  <c r="M3" i="210"/>
  <c r="H3" i="210"/>
  <c r="E3" i="210"/>
  <c r="C3" i="210"/>
  <c r="B3" i="210"/>
  <c r="B16" i="209"/>
  <c r="C16" i="209" s="1"/>
  <c r="B15" i="209"/>
  <c r="D6" i="209"/>
  <c r="D7" i="209" s="1"/>
  <c r="AE3" i="209"/>
  <c r="Z3" i="209"/>
  <c r="V3" i="209"/>
  <c r="U3" i="209"/>
  <c r="P3" i="209"/>
  <c r="M3" i="209"/>
  <c r="H3" i="209"/>
  <c r="E3" i="209"/>
  <c r="C3" i="209"/>
  <c r="B3" i="209"/>
  <c r="B16" i="208"/>
  <c r="C16" i="208" s="1"/>
  <c r="C15" i="208" s="1"/>
  <c r="B15" i="208"/>
  <c r="D6" i="208"/>
  <c r="D7" i="208" s="1"/>
  <c r="AE3" i="208"/>
  <c r="Z3" i="208"/>
  <c r="V3" i="208"/>
  <c r="U3" i="208"/>
  <c r="P3" i="208"/>
  <c r="M3" i="208"/>
  <c r="H3" i="208"/>
  <c r="E3" i="208"/>
  <c r="C3" i="208"/>
  <c r="B3" i="208"/>
  <c r="B16" i="207"/>
  <c r="C16" i="207" s="1"/>
  <c r="B15" i="207"/>
  <c r="D6" i="207"/>
  <c r="D7" i="207" s="1"/>
  <c r="AE3" i="207"/>
  <c r="Z3" i="207"/>
  <c r="V3" i="207"/>
  <c r="U3" i="207"/>
  <c r="P3" i="207"/>
  <c r="M3" i="207"/>
  <c r="H3" i="207"/>
  <c r="E3" i="207"/>
  <c r="C3" i="207"/>
  <c r="B3" i="207"/>
  <c r="B16" i="206"/>
  <c r="B15" i="206" s="1"/>
  <c r="D6" i="206"/>
  <c r="D7" i="206" s="1"/>
  <c r="AE3" i="206"/>
  <c r="Z3" i="206"/>
  <c r="V3" i="206"/>
  <c r="U3" i="206"/>
  <c r="P3" i="206"/>
  <c r="M3" i="206"/>
  <c r="H3" i="206"/>
  <c r="E3" i="206"/>
  <c r="C3" i="206"/>
  <c r="B3" i="206"/>
  <c r="B16" i="205"/>
  <c r="B15" i="205" s="1"/>
  <c r="D6" i="205"/>
  <c r="D7" i="205" s="1"/>
  <c r="AE3" i="205"/>
  <c r="Z3" i="205"/>
  <c r="V3" i="205"/>
  <c r="U3" i="205"/>
  <c r="P3" i="205"/>
  <c r="M3" i="205"/>
  <c r="H3" i="205"/>
  <c r="C3" i="205"/>
  <c r="B3" i="205"/>
  <c r="B16" i="204"/>
  <c r="B15" i="204" s="1"/>
  <c r="D6" i="204"/>
  <c r="D7" i="204" s="1"/>
  <c r="Z3" i="204"/>
  <c r="V3" i="204"/>
  <c r="U3" i="204"/>
  <c r="P3" i="204"/>
  <c r="M3" i="204"/>
  <c r="H3" i="204"/>
  <c r="E3" i="204"/>
  <c r="C3" i="204"/>
  <c r="B3" i="204"/>
  <c r="B16" i="203"/>
  <c r="B15" i="203" s="1"/>
  <c r="D6" i="203"/>
  <c r="D7" i="203" s="1"/>
  <c r="AE3" i="203"/>
  <c r="Z3" i="203"/>
  <c r="U3" i="203"/>
  <c r="P3" i="203"/>
  <c r="M3" i="203"/>
  <c r="H3" i="203"/>
  <c r="E3" i="203"/>
  <c r="C3" i="203"/>
  <c r="B3" i="203"/>
  <c r="B16" i="202"/>
  <c r="B15" i="202" s="1"/>
  <c r="D6" i="202"/>
  <c r="D7" i="202" s="1"/>
  <c r="AE3" i="202"/>
  <c r="Z3" i="202"/>
  <c r="V3" i="202"/>
  <c r="U3" i="202"/>
  <c r="P3" i="202"/>
  <c r="M3" i="202"/>
  <c r="H3" i="202"/>
  <c r="C3" i="202"/>
  <c r="B3" i="202"/>
  <c r="B16" i="201"/>
  <c r="C16" i="201" s="1"/>
  <c r="D6" i="201"/>
  <c r="D7" i="201" s="1"/>
  <c r="AE3" i="201"/>
  <c r="Z3" i="201"/>
  <c r="V3" i="201"/>
  <c r="U3" i="201"/>
  <c r="P3" i="201"/>
  <c r="M3" i="201"/>
  <c r="H3" i="201"/>
  <c r="E3" i="201"/>
  <c r="C3" i="201"/>
  <c r="B3" i="201"/>
  <c r="B16" i="200"/>
  <c r="C16" i="200" s="1"/>
  <c r="C15" i="200" s="1"/>
  <c r="D6" i="200"/>
  <c r="D7" i="200" s="1"/>
  <c r="AE3" i="200"/>
  <c r="Z3" i="200"/>
  <c r="V3" i="200"/>
  <c r="U3" i="200"/>
  <c r="P3" i="200"/>
  <c r="M3" i="200"/>
  <c r="H3" i="200"/>
  <c r="E3" i="200"/>
  <c r="C3" i="200"/>
  <c r="B3" i="200"/>
  <c r="C16" i="211" l="1"/>
  <c r="C16" i="210"/>
  <c r="C15" i="210" s="1"/>
  <c r="C15" i="209"/>
  <c r="D16" i="209"/>
  <c r="D16" i="208"/>
  <c r="D16" i="207"/>
  <c r="C15" i="207"/>
  <c r="C16" i="206"/>
  <c r="C16" i="205"/>
  <c r="C16" i="204"/>
  <c r="C16" i="203"/>
  <c r="C16" i="202"/>
  <c r="C15" i="201"/>
  <c r="D16" i="201"/>
  <c r="B15" i="201"/>
  <c r="B15" i="200"/>
  <c r="D16" i="200"/>
  <c r="B8" i="3" a="1"/>
  <c r="B8" i="3" s="1"/>
  <c r="V22" i="3"/>
  <c r="B22" i="3"/>
  <c r="AW3" i="3" a="1"/>
  <c r="C15" i="211" l="1"/>
  <c r="D16" i="211"/>
  <c r="D16" i="210"/>
  <c r="E16" i="210" s="1"/>
  <c r="E16" i="209"/>
  <c r="D15" i="209"/>
  <c r="E16" i="208"/>
  <c r="D15" i="208"/>
  <c r="E16" i="207"/>
  <c r="D15" i="207"/>
  <c r="C15" i="206"/>
  <c r="D16" i="206"/>
  <c r="C15" i="205"/>
  <c r="D16" i="205"/>
  <c r="C15" i="204"/>
  <c r="D16" i="204"/>
  <c r="C15" i="203"/>
  <c r="D16" i="203"/>
  <c r="C15" i="202"/>
  <c r="D16" i="202"/>
  <c r="D15" i="201"/>
  <c r="E16" i="201"/>
  <c r="E16" i="200"/>
  <c r="D15" i="200"/>
  <c r="AW3" i="3"/>
  <c r="AK15" i="3" a="1"/>
  <c r="AJ16" i="3" a="1"/>
  <c r="AK12" i="3" a="1"/>
  <c r="AL11" i="3" a="1"/>
  <c r="AL15" i="3" a="1"/>
  <c r="AL16" i="3" a="1"/>
  <c r="AL9" i="3" a="1"/>
  <c r="AJ12" i="3" a="1"/>
  <c r="AK9" i="3" a="1"/>
  <c r="AK18" i="3" a="1"/>
  <c r="AW10" i="3" a="1"/>
  <c r="AJ9" i="3" a="1"/>
  <c r="AW11" i="3" a="1"/>
  <c r="AL18" i="3" a="1"/>
  <c r="AW9" i="3" a="1"/>
  <c r="AL17" i="3" a="1"/>
  <c r="AJ15" i="3" a="1"/>
  <c r="AL10" i="3" a="1"/>
  <c r="AJ11" i="3" a="1"/>
  <c r="AJ17" i="3" a="1"/>
  <c r="AJ18" i="3" a="1"/>
  <c r="AI11" i="3" a="1"/>
  <c r="AJ13" i="3" a="1"/>
  <c r="AJ14" i="3" a="1"/>
  <c r="AK13" i="3" a="1"/>
  <c r="AK14" i="3" a="1"/>
  <c r="AK10" i="3" a="1"/>
  <c r="AI10" i="3" a="1"/>
  <c r="AI9" i="3" a="1"/>
  <c r="AK17" i="3" a="1"/>
  <c r="AL13" i="3" a="1"/>
  <c r="AL14" i="3" a="1"/>
  <c r="AK16" i="3" a="1"/>
  <c r="AL12" i="3" a="1"/>
  <c r="AJ10" i="3" a="1"/>
  <c r="AK11" i="3" a="1"/>
  <c r="E16" i="211" l="1"/>
  <c r="D15" i="211"/>
  <c r="D15" i="210"/>
  <c r="F16" i="210"/>
  <c r="E15" i="210"/>
  <c r="F16" i="209"/>
  <c r="E15" i="209"/>
  <c r="E15" i="208"/>
  <c r="F16" i="208"/>
  <c r="F16" i="207"/>
  <c r="E15" i="207"/>
  <c r="E16" i="206"/>
  <c r="D15" i="206"/>
  <c r="E16" i="205"/>
  <c r="D15" i="205"/>
  <c r="D15" i="204"/>
  <c r="E16" i="204"/>
  <c r="E16" i="203"/>
  <c r="D15" i="203"/>
  <c r="E16" i="202"/>
  <c r="D15" i="202"/>
  <c r="E15" i="201"/>
  <c r="F16" i="201"/>
  <c r="F16" i="200"/>
  <c r="E15" i="200"/>
  <c r="AL10" i="3"/>
  <c r="AL17" i="3"/>
  <c r="AL12" i="3"/>
  <c r="AL14" i="3"/>
  <c r="AL16" i="3"/>
  <c r="AL15" i="3"/>
  <c r="AL11" i="3"/>
  <c r="AL18" i="3"/>
  <c r="AL13" i="3"/>
  <c r="AK10" i="3"/>
  <c r="AK11" i="3"/>
  <c r="AK17" i="3"/>
  <c r="AK12" i="3"/>
  <c r="AK18" i="3"/>
  <c r="AK13" i="3"/>
  <c r="AK15" i="3"/>
  <c r="AK14" i="3"/>
  <c r="AK16" i="3"/>
  <c r="AJ14" i="3"/>
  <c r="AJ10" i="3"/>
  <c r="AJ17" i="3"/>
  <c r="AJ16" i="3"/>
  <c r="AJ18" i="3"/>
  <c r="AJ13" i="3"/>
  <c r="AJ15" i="3"/>
  <c r="AJ11" i="3"/>
  <c r="AJ12" i="3"/>
  <c r="AL9" i="3"/>
  <c r="AK9" i="3"/>
  <c r="AJ9" i="3"/>
  <c r="AI9" i="3"/>
  <c r="AI10" i="3"/>
  <c r="AW10" i="3"/>
  <c r="AI11" i="3"/>
  <c r="AW11" i="3"/>
  <c r="AF22" i="3"/>
  <c r="AW9" i="3"/>
  <c r="AH18" i="3"/>
  <c r="AH16" i="3"/>
  <c r="AH17" i="3"/>
  <c r="AH15" i="3"/>
  <c r="AH14" i="3"/>
  <c r="AH13" i="3"/>
  <c r="AH12" i="3"/>
  <c r="AH9" i="3"/>
  <c r="AH10" i="3"/>
  <c r="AH11" i="3"/>
  <c r="E15" i="211" l="1"/>
  <c r="F16" i="211"/>
  <c r="G16" i="210"/>
  <c r="F15" i="210"/>
  <c r="G16" i="209"/>
  <c r="F15" i="209"/>
  <c r="G16" i="208"/>
  <c r="F15" i="208"/>
  <c r="G16" i="207"/>
  <c r="F15" i="207"/>
  <c r="E15" i="206"/>
  <c r="F16" i="206"/>
  <c r="F16" i="205"/>
  <c r="E15" i="205"/>
  <c r="E15" i="204"/>
  <c r="F16" i="204"/>
  <c r="F16" i="203"/>
  <c r="E15" i="203"/>
  <c r="F16" i="202"/>
  <c r="E15" i="202"/>
  <c r="F15" i="201"/>
  <c r="G16" i="201"/>
  <c r="G16" i="200"/>
  <c r="F15" i="200"/>
  <c r="K22" i="3"/>
  <c r="F15" i="211" l="1"/>
  <c r="G16" i="211"/>
  <c r="H16" i="210"/>
  <c r="G15" i="210"/>
  <c r="H16" i="209"/>
  <c r="G15" i="209"/>
  <c r="H16" i="208"/>
  <c r="G15" i="208"/>
  <c r="G15" i="207"/>
  <c r="H16" i="207"/>
  <c r="G16" i="206"/>
  <c r="F15" i="206"/>
  <c r="G16" i="205"/>
  <c r="F15" i="205"/>
  <c r="F15" i="204"/>
  <c r="G16" i="204"/>
  <c r="G16" i="203"/>
  <c r="F15" i="203"/>
  <c r="G16" i="202"/>
  <c r="F15" i="202"/>
  <c r="H16" i="201"/>
  <c r="G15" i="201"/>
  <c r="H16" i="200"/>
  <c r="G15" i="200"/>
  <c r="B3" i="5"/>
  <c r="C3" i="5"/>
  <c r="E3" i="5"/>
  <c r="H3" i="5"/>
  <c r="M3" i="5"/>
  <c r="P3" i="5"/>
  <c r="U3" i="5"/>
  <c r="V3" i="5"/>
  <c r="Z3" i="5"/>
  <c r="AE3" i="5"/>
  <c r="H16" i="211" l="1"/>
  <c r="G15" i="211"/>
  <c r="H15" i="210"/>
  <c r="I16" i="210"/>
  <c r="H15" i="209"/>
  <c r="I16" i="209"/>
  <c r="I16" i="208"/>
  <c r="H15" i="208"/>
  <c r="H15" i="207"/>
  <c r="I16" i="207"/>
  <c r="H16" i="206"/>
  <c r="G15" i="206"/>
  <c r="H16" i="205"/>
  <c r="G15" i="205"/>
  <c r="H16" i="204"/>
  <c r="G15" i="204"/>
  <c r="H16" i="203"/>
  <c r="G15" i="203"/>
  <c r="H16" i="202"/>
  <c r="G15" i="202"/>
  <c r="H15" i="201"/>
  <c r="I16" i="201"/>
  <c r="H15" i="200"/>
  <c r="I16" i="200"/>
  <c r="D6" i="5"/>
  <c r="M7" i="2" a="1"/>
  <c r="H15" i="211" l="1"/>
  <c r="I16" i="211"/>
  <c r="I15" i="210"/>
  <c r="J16" i="210"/>
  <c r="I15" i="209"/>
  <c r="J16" i="209"/>
  <c r="I15" i="208"/>
  <c r="J16" i="208"/>
  <c r="I15" i="207"/>
  <c r="J16" i="207"/>
  <c r="I16" i="206"/>
  <c r="H15" i="206"/>
  <c r="H15" i="205"/>
  <c r="I16" i="205"/>
  <c r="I16" i="204"/>
  <c r="H15" i="204"/>
  <c r="H15" i="203"/>
  <c r="I16" i="203"/>
  <c r="H15" i="202"/>
  <c r="I16" i="202"/>
  <c r="I15" i="201"/>
  <c r="J16" i="201"/>
  <c r="I15" i="200"/>
  <c r="J16" i="200"/>
  <c r="M7" i="2"/>
  <c r="M16" i="2" a="1"/>
  <c r="M11" i="2" a="1"/>
  <c r="M8" i="2" a="1"/>
  <c r="M10" i="2" a="1"/>
  <c r="M15" i="2" a="1"/>
  <c r="M14" i="2" a="1"/>
  <c r="M12" i="2" a="1"/>
  <c r="M13" i="2" a="1"/>
  <c r="M9" i="2" a="1"/>
  <c r="I15" i="211" l="1"/>
  <c r="J16" i="211"/>
  <c r="J15" i="210"/>
  <c r="K16" i="210"/>
  <c r="K16" i="209"/>
  <c r="J15" i="209"/>
  <c r="J15" i="208"/>
  <c r="K16" i="208"/>
  <c r="J15" i="207"/>
  <c r="K16" i="207"/>
  <c r="I15" i="206"/>
  <c r="J16" i="206"/>
  <c r="I15" i="205"/>
  <c r="J16" i="205"/>
  <c r="I15" i="204"/>
  <c r="J16" i="204"/>
  <c r="I15" i="203"/>
  <c r="J16" i="203"/>
  <c r="J16" i="202"/>
  <c r="I15" i="202"/>
  <c r="K16" i="201"/>
  <c r="J15" i="201"/>
  <c r="J15" i="200"/>
  <c r="K16" i="200"/>
  <c r="M8" i="2"/>
  <c r="M9" i="2"/>
  <c r="M10" i="2"/>
  <c r="M11" i="2"/>
  <c r="M12" i="2"/>
  <c r="M13" i="2"/>
  <c r="M14" i="2"/>
  <c r="M15" i="2"/>
  <c r="M16" i="2"/>
  <c r="J15" i="211" l="1"/>
  <c r="K16" i="211"/>
  <c r="K15" i="210"/>
  <c r="L16" i="210"/>
  <c r="K15" i="209"/>
  <c r="L16" i="209"/>
  <c r="K15" i="208"/>
  <c r="L16" i="208"/>
  <c r="L16" i="207"/>
  <c r="K15" i="207"/>
  <c r="J15" i="206"/>
  <c r="K16" i="206"/>
  <c r="K16" i="205"/>
  <c r="J15" i="205"/>
  <c r="K16" i="204"/>
  <c r="J15" i="204"/>
  <c r="J15" i="203"/>
  <c r="K16" i="203"/>
  <c r="K16" i="202"/>
  <c r="J15" i="202"/>
  <c r="K15" i="201"/>
  <c r="L16" i="201"/>
  <c r="K15" i="200"/>
  <c r="L16" i="200"/>
  <c r="B16" i="5"/>
  <c r="B15" i="5" s="1"/>
  <c r="D7" i="5"/>
  <c r="K15" i="211" l="1"/>
  <c r="L16" i="211"/>
  <c r="L15" i="210"/>
  <c r="M16" i="210"/>
  <c r="L15" i="209"/>
  <c r="M16" i="209"/>
  <c r="L15" i="208"/>
  <c r="M16" i="208"/>
  <c r="L15" i="207"/>
  <c r="M16" i="207"/>
  <c r="K15" i="206"/>
  <c r="L16" i="206"/>
  <c r="K15" i="205"/>
  <c r="L16" i="205"/>
  <c r="K15" i="204"/>
  <c r="L16" i="204"/>
  <c r="K15" i="203"/>
  <c r="L16" i="203"/>
  <c r="K15" i="202"/>
  <c r="L16" i="202"/>
  <c r="M16" i="201"/>
  <c r="L15" i="201"/>
  <c r="L15" i="200"/>
  <c r="M16" i="200"/>
  <c r="C16" i="5"/>
  <c r="D16" i="5" s="1"/>
  <c r="E16" i="5" s="1"/>
  <c r="F16" i="5" s="1"/>
  <c r="G16" i="5" s="1"/>
  <c r="H16" i="5" s="1"/>
  <c r="I16" i="5" s="1"/>
  <c r="J16" i="5" s="1"/>
  <c r="K16" i="5" s="1"/>
  <c r="L16" i="5" s="1"/>
  <c r="M16" i="5" s="1"/>
  <c r="N16" i="5" s="1"/>
  <c r="O16" i="5" s="1"/>
  <c r="P16" i="5" s="1"/>
  <c r="Q16" i="5" s="1"/>
  <c r="R16" i="5" s="1"/>
  <c r="S16" i="5" s="1"/>
  <c r="T16" i="5" s="1"/>
  <c r="U16" i="5" s="1"/>
  <c r="V16" i="5" s="1"/>
  <c r="W16" i="5" s="1"/>
  <c r="X16" i="5" s="1"/>
  <c r="Y16" i="5" s="1"/>
  <c r="Z16" i="5" s="1"/>
  <c r="M16" i="211" l="1"/>
  <c r="L15" i="211"/>
  <c r="M15" i="210"/>
  <c r="N16" i="210"/>
  <c r="M15" i="209"/>
  <c r="N16" i="209"/>
  <c r="M15" i="208"/>
  <c r="N16" i="208"/>
  <c r="M15" i="207"/>
  <c r="N16" i="207"/>
  <c r="L15" i="206"/>
  <c r="M16" i="206"/>
  <c r="L15" i="205"/>
  <c r="M16" i="205"/>
  <c r="L15" i="204"/>
  <c r="M16" i="204"/>
  <c r="L15" i="203"/>
  <c r="M16" i="203"/>
  <c r="L15" i="202"/>
  <c r="M16" i="202"/>
  <c r="N16" i="201"/>
  <c r="M15" i="201"/>
  <c r="M15" i="200"/>
  <c r="N16" i="200"/>
  <c r="AA16" i="5"/>
  <c r="AB16" i="5" s="1"/>
  <c r="AC16" i="5" s="1"/>
  <c r="AD16" i="5" s="1"/>
  <c r="AE16" i="5" s="1"/>
  <c r="AF16" i="5" s="1"/>
  <c r="C15" i="5"/>
  <c r="N16" i="211" l="1"/>
  <c r="M15" i="211"/>
  <c r="N15" i="210"/>
  <c r="O16" i="210"/>
  <c r="N15" i="209"/>
  <c r="O16" i="209"/>
  <c r="N15" i="208"/>
  <c r="O16" i="208"/>
  <c r="N15" i="207"/>
  <c r="O16" i="207"/>
  <c r="M15" i="206"/>
  <c r="N16" i="206"/>
  <c r="M15" i="205"/>
  <c r="N16" i="205"/>
  <c r="M15" i="204"/>
  <c r="N16" i="204"/>
  <c r="M15" i="203"/>
  <c r="N16" i="203"/>
  <c r="M15" i="202"/>
  <c r="N16" i="202"/>
  <c r="O16" i="201"/>
  <c r="N15" i="201"/>
  <c r="N15" i="200"/>
  <c r="O16" i="200"/>
  <c r="D15" i="5"/>
  <c r="O16" i="211" l="1"/>
  <c r="N15" i="211"/>
  <c r="O15" i="210"/>
  <c r="P16" i="210"/>
  <c r="O15" i="209"/>
  <c r="P16" i="209"/>
  <c r="O15" i="208"/>
  <c r="P16" i="208"/>
  <c r="P16" i="207"/>
  <c r="O15" i="207"/>
  <c r="N15" i="206"/>
  <c r="O16" i="206"/>
  <c r="N15" i="205"/>
  <c r="O16" i="205"/>
  <c r="N15" i="204"/>
  <c r="O16" i="204"/>
  <c r="N15" i="203"/>
  <c r="O16" i="203"/>
  <c r="N15" i="202"/>
  <c r="O16" i="202"/>
  <c r="O15" i="201"/>
  <c r="P16" i="201"/>
  <c r="O15" i="200"/>
  <c r="P16" i="200"/>
  <c r="E15" i="5"/>
  <c r="O15" i="211" l="1"/>
  <c r="P16" i="211"/>
  <c r="Q16" i="210"/>
  <c r="P15" i="210"/>
  <c r="Q16" i="209"/>
  <c r="P15" i="209"/>
  <c r="P15" i="208"/>
  <c r="Q16" i="208"/>
  <c r="Q16" i="207"/>
  <c r="P15" i="207"/>
  <c r="O15" i="206"/>
  <c r="P16" i="206"/>
  <c r="O15" i="205"/>
  <c r="P16" i="205"/>
  <c r="O15" i="204"/>
  <c r="P16" i="204"/>
  <c r="O15" i="203"/>
  <c r="P16" i="203"/>
  <c r="O15" i="202"/>
  <c r="P16" i="202"/>
  <c r="P15" i="201"/>
  <c r="Q16" i="201"/>
  <c r="Q16" i="200"/>
  <c r="P15" i="200"/>
  <c r="F15" i="5"/>
  <c r="Q16" i="211" l="1"/>
  <c r="P15" i="211"/>
  <c r="R16" i="210"/>
  <c r="Q15" i="210"/>
  <c r="R16" i="209"/>
  <c r="Q15" i="209"/>
  <c r="R16" i="208"/>
  <c r="Q15" i="208"/>
  <c r="R16" i="207"/>
  <c r="Q15" i="207"/>
  <c r="Q16" i="206"/>
  <c r="P15" i="206"/>
  <c r="Q16" i="205"/>
  <c r="P15" i="205"/>
  <c r="P15" i="204"/>
  <c r="Q16" i="204"/>
  <c r="Q16" i="203"/>
  <c r="P15" i="203"/>
  <c r="Q16" i="202"/>
  <c r="P15" i="202"/>
  <c r="R16" i="201"/>
  <c r="Q15" i="201"/>
  <c r="R16" i="200"/>
  <c r="Q15" i="200"/>
  <c r="G15" i="5"/>
  <c r="R16" i="211" l="1"/>
  <c r="Q15" i="211"/>
  <c r="S16" i="210"/>
  <c r="R15" i="210"/>
  <c r="S16" i="209"/>
  <c r="R15" i="209"/>
  <c r="S16" i="208"/>
  <c r="R15" i="208"/>
  <c r="S16" i="207"/>
  <c r="R15" i="207"/>
  <c r="R16" i="206"/>
  <c r="Q15" i="206"/>
  <c r="R16" i="205"/>
  <c r="Q15" i="205"/>
  <c r="Q15" i="204"/>
  <c r="R16" i="204"/>
  <c r="R16" i="203"/>
  <c r="Q15" i="203"/>
  <c r="R16" i="202"/>
  <c r="Q15" i="202"/>
  <c r="S16" i="201"/>
  <c r="R15" i="201"/>
  <c r="S16" i="200"/>
  <c r="R15" i="200"/>
  <c r="H15" i="5"/>
  <c r="S16" i="211" l="1"/>
  <c r="R15" i="211"/>
  <c r="T16" i="210"/>
  <c r="S15" i="210"/>
  <c r="T16" i="209"/>
  <c r="S15" i="209"/>
  <c r="T16" i="208"/>
  <c r="S15" i="208"/>
  <c r="S15" i="207"/>
  <c r="T16" i="207"/>
  <c r="R15" i="206"/>
  <c r="S16" i="206"/>
  <c r="S16" i="205"/>
  <c r="R15" i="205"/>
  <c r="S16" i="204"/>
  <c r="R15" i="204"/>
  <c r="S16" i="203"/>
  <c r="R15" i="203"/>
  <c r="S16" i="202"/>
  <c r="R15" i="202"/>
  <c r="T16" i="201"/>
  <c r="S15" i="201"/>
  <c r="T16" i="200"/>
  <c r="S15" i="200"/>
  <c r="I15" i="5"/>
  <c r="T16" i="211" l="1"/>
  <c r="S15" i="211"/>
  <c r="T15" i="210"/>
  <c r="U16" i="210"/>
  <c r="U16" i="209"/>
  <c r="T15" i="209"/>
  <c r="U16" i="208"/>
  <c r="T15" i="208"/>
  <c r="T15" i="207"/>
  <c r="U16" i="207"/>
  <c r="T16" i="206"/>
  <c r="S15" i="206"/>
  <c r="T16" i="205"/>
  <c r="S15" i="205"/>
  <c r="T16" i="204"/>
  <c r="S15" i="204"/>
  <c r="T16" i="203"/>
  <c r="S15" i="203"/>
  <c r="T16" i="202"/>
  <c r="S15" i="202"/>
  <c r="T15" i="201"/>
  <c r="U16" i="201"/>
  <c r="T15" i="200"/>
  <c r="U16" i="200"/>
  <c r="J15" i="5"/>
  <c r="T15" i="211" l="1"/>
  <c r="U16" i="211"/>
  <c r="U15" i="210"/>
  <c r="V16" i="210"/>
  <c r="V16" i="209"/>
  <c r="U15" i="209"/>
  <c r="U15" i="208"/>
  <c r="V16" i="208"/>
  <c r="U15" i="207"/>
  <c r="V16" i="207"/>
  <c r="U16" i="206"/>
  <c r="T15" i="206"/>
  <c r="U16" i="205"/>
  <c r="T15" i="205"/>
  <c r="U16" i="204"/>
  <c r="T15" i="204"/>
  <c r="T15" i="203"/>
  <c r="U16" i="203"/>
  <c r="U16" i="202"/>
  <c r="T15" i="202"/>
  <c r="U15" i="201"/>
  <c r="V16" i="201"/>
  <c r="U15" i="200"/>
  <c r="V16" i="200"/>
  <c r="K15" i="5"/>
  <c r="U15" i="211" l="1"/>
  <c r="V16" i="211"/>
  <c r="V15" i="210"/>
  <c r="W16" i="210"/>
  <c r="W16" i="209"/>
  <c r="V15" i="209"/>
  <c r="V15" i="208"/>
  <c r="W16" i="208"/>
  <c r="V15" i="207"/>
  <c r="W16" i="207"/>
  <c r="V16" i="206"/>
  <c r="U15" i="206"/>
  <c r="U15" i="205"/>
  <c r="V16" i="205"/>
  <c r="V16" i="204"/>
  <c r="U15" i="204"/>
  <c r="U15" i="203"/>
  <c r="V16" i="203"/>
  <c r="U15" i="202"/>
  <c r="V16" i="202"/>
  <c r="V15" i="201"/>
  <c r="W16" i="201"/>
  <c r="V15" i="200"/>
  <c r="W16" i="200"/>
  <c r="L15" i="5"/>
  <c r="V15" i="211" l="1"/>
  <c r="W16" i="211"/>
  <c r="W15" i="210"/>
  <c r="X16" i="210"/>
  <c r="W15" i="209"/>
  <c r="X16" i="209"/>
  <c r="W15" i="208"/>
  <c r="X16" i="208"/>
  <c r="X16" i="207"/>
  <c r="W15" i="207"/>
  <c r="W16" i="206"/>
  <c r="V15" i="206"/>
  <c r="W16" i="205"/>
  <c r="V15" i="205"/>
  <c r="W16" i="204"/>
  <c r="V15" i="204"/>
  <c r="V15" i="203"/>
  <c r="W16" i="203"/>
  <c r="W16" i="202"/>
  <c r="V15" i="202"/>
  <c r="W15" i="201"/>
  <c r="X16" i="201"/>
  <c r="W15" i="200"/>
  <c r="X16" i="200"/>
  <c r="M15" i="5"/>
  <c r="X16" i="211" l="1"/>
  <c r="W15" i="211"/>
  <c r="X15" i="210"/>
  <c r="Y16" i="210"/>
  <c r="X15" i="209"/>
  <c r="Y16" i="209"/>
  <c r="X15" i="208"/>
  <c r="Y16" i="208"/>
  <c r="Y16" i="207"/>
  <c r="X15" i="207"/>
  <c r="X16" i="206"/>
  <c r="W15" i="206"/>
  <c r="W15" i="205"/>
  <c r="X16" i="205"/>
  <c r="X16" i="204"/>
  <c r="W15" i="204"/>
  <c r="W15" i="203"/>
  <c r="X16" i="203"/>
  <c r="W15" i="202"/>
  <c r="X16" i="202"/>
  <c r="Y16" i="201"/>
  <c r="X15" i="201"/>
  <c r="X15" i="200"/>
  <c r="Y16" i="200"/>
  <c r="N15" i="5"/>
  <c r="Y16" i="211" l="1"/>
  <c r="X15" i="211"/>
  <c r="Y15" i="210"/>
  <c r="Z16" i="210"/>
  <c r="Y15" i="209"/>
  <c r="Z16" i="209"/>
  <c r="Z16" i="208"/>
  <c r="Y15" i="208"/>
  <c r="Y15" i="207"/>
  <c r="Z16" i="207"/>
  <c r="X15" i="206"/>
  <c r="Y16" i="206"/>
  <c r="X15" i="205"/>
  <c r="Y16" i="205"/>
  <c r="Y16" i="204"/>
  <c r="X15" i="204"/>
  <c r="X15" i="203"/>
  <c r="Y16" i="203"/>
  <c r="X15" i="202"/>
  <c r="Y16" i="202"/>
  <c r="Z16" i="201"/>
  <c r="Y15" i="201"/>
  <c r="Y15" i="200"/>
  <c r="Z16" i="200"/>
  <c r="O15" i="5"/>
  <c r="Y15" i="211" l="1"/>
  <c r="Z16" i="211"/>
  <c r="AA16" i="210"/>
  <c r="Z15" i="210"/>
  <c r="Z15" i="209"/>
  <c r="AA16" i="209"/>
  <c r="Z15" i="208"/>
  <c r="AA16" i="208"/>
  <c r="Z15" i="207"/>
  <c r="AA16" i="207"/>
  <c r="Y15" i="206"/>
  <c r="Z16" i="206"/>
  <c r="Y15" i="205"/>
  <c r="Z16" i="205"/>
  <c r="Y15" i="204"/>
  <c r="Z16" i="204"/>
  <c r="Y15" i="203"/>
  <c r="Z16" i="203"/>
  <c r="Y15" i="202"/>
  <c r="Z16" i="202"/>
  <c r="Z15" i="201"/>
  <c r="AA16" i="201"/>
  <c r="Z15" i="200"/>
  <c r="AA16" i="200"/>
  <c r="P15" i="5"/>
  <c r="Z15" i="211" l="1"/>
  <c r="AA16" i="211"/>
  <c r="AA15" i="210"/>
  <c r="AB16" i="210"/>
  <c r="AA15" i="209"/>
  <c r="AB16" i="209"/>
  <c r="AA15" i="208"/>
  <c r="AB16" i="208"/>
  <c r="AA15" i="207"/>
  <c r="AB16" i="207"/>
  <c r="Z15" i="206"/>
  <c r="AA16" i="206"/>
  <c r="Z15" i="205"/>
  <c r="AA16" i="205"/>
  <c r="Z15" i="204"/>
  <c r="AA16" i="204"/>
  <c r="Z15" i="203"/>
  <c r="AA16" i="203"/>
  <c r="Z15" i="202"/>
  <c r="AA16" i="202"/>
  <c r="AA15" i="201"/>
  <c r="AB16" i="201"/>
  <c r="AA15" i="200"/>
  <c r="AB16" i="200"/>
  <c r="Q15" i="5"/>
  <c r="AA15" i="211" l="1"/>
  <c r="AB16" i="211"/>
  <c r="AC16" i="210"/>
  <c r="AB15" i="210"/>
  <c r="AC16" i="209"/>
  <c r="AB15" i="209"/>
  <c r="AC16" i="208"/>
  <c r="AB15" i="208"/>
  <c r="AC16" i="207"/>
  <c r="AB15" i="207"/>
  <c r="AA15" i="206"/>
  <c r="AB16" i="206"/>
  <c r="AA15" i="205"/>
  <c r="AB16" i="205"/>
  <c r="AA15" i="204"/>
  <c r="AB16" i="204"/>
  <c r="AA15" i="203"/>
  <c r="AB16" i="203"/>
  <c r="AA15" i="202"/>
  <c r="AB16" i="202"/>
  <c r="AC16" i="201"/>
  <c r="AB15" i="201"/>
  <c r="AC16" i="200"/>
  <c r="AB15" i="200"/>
  <c r="R15" i="5"/>
  <c r="AC16" i="211" l="1"/>
  <c r="AB15" i="211"/>
  <c r="AD16" i="210"/>
  <c r="AC15" i="210"/>
  <c r="AD16" i="209"/>
  <c r="AC15" i="209"/>
  <c r="AC15" i="208"/>
  <c r="AD16" i="208"/>
  <c r="AD16" i="207"/>
  <c r="AC15" i="207"/>
  <c r="AC16" i="206"/>
  <c r="AB15" i="206"/>
  <c r="AC16" i="205"/>
  <c r="AB15" i="205"/>
  <c r="AB15" i="204"/>
  <c r="AC16" i="204"/>
  <c r="AC16" i="203"/>
  <c r="AB15" i="203"/>
  <c r="AC16" i="202"/>
  <c r="AB15" i="202"/>
  <c r="AC15" i="201"/>
  <c r="AD16" i="201"/>
  <c r="AD16" i="200"/>
  <c r="AC15" i="200"/>
  <c r="S15" i="5"/>
  <c r="AC15" i="211" l="1"/>
  <c r="AD16" i="211"/>
  <c r="AE16" i="210"/>
  <c r="AD15" i="210"/>
  <c r="AE16" i="209"/>
  <c r="AD15" i="209"/>
  <c r="AE16" i="208"/>
  <c r="AD15" i="208"/>
  <c r="AE16" i="207"/>
  <c r="AD15" i="207"/>
  <c r="AD16" i="206"/>
  <c r="AC15" i="206"/>
  <c r="AD16" i="205"/>
  <c r="AC15" i="205"/>
  <c r="AC15" i="204"/>
  <c r="AD16" i="204"/>
  <c r="AD16" i="203"/>
  <c r="AC15" i="203"/>
  <c r="AD16" i="202"/>
  <c r="AC15" i="202"/>
  <c r="AE16" i="201"/>
  <c r="AD15" i="201"/>
  <c r="AE16" i="200"/>
  <c r="AD15" i="200"/>
  <c r="T15" i="5"/>
  <c r="AD15" i="211" l="1"/>
  <c r="AE16" i="211"/>
  <c r="AF16" i="210"/>
  <c r="AF15" i="210" s="1"/>
  <c r="AE15" i="210"/>
  <c r="AF16" i="209"/>
  <c r="AF15" i="209" s="1"/>
  <c r="AE15" i="209"/>
  <c r="AF16" i="208"/>
  <c r="AF15" i="208" s="1"/>
  <c r="AE15" i="208"/>
  <c r="AE15" i="207"/>
  <c r="AF16" i="207"/>
  <c r="AF15" i="207" s="1"/>
  <c r="AE16" i="206"/>
  <c r="AD15" i="206"/>
  <c r="AE16" i="205"/>
  <c r="AD15" i="205"/>
  <c r="AE16" i="204"/>
  <c r="AD15" i="204"/>
  <c r="AE16" i="203"/>
  <c r="AD15" i="203"/>
  <c r="AE16" i="202"/>
  <c r="AD15" i="202"/>
  <c r="AF16" i="201"/>
  <c r="AF15" i="201" s="1"/>
  <c r="AE15" i="201"/>
  <c r="AF16" i="200"/>
  <c r="AF15" i="200" s="1"/>
  <c r="AE15" i="200"/>
  <c r="U15" i="5"/>
  <c r="AF16" i="211" l="1"/>
  <c r="AF15" i="211" s="1"/>
  <c r="AE15" i="211"/>
  <c r="AF16" i="206"/>
  <c r="AF15" i="206" s="1"/>
  <c r="AE15" i="206"/>
  <c r="AF16" i="205"/>
  <c r="AF15" i="205" s="1"/>
  <c r="AE15" i="205"/>
  <c r="AF16" i="204"/>
  <c r="AF15" i="204" s="1"/>
  <c r="AE15" i="204"/>
  <c r="AF16" i="203"/>
  <c r="AF15" i="203" s="1"/>
  <c r="AE15" i="203"/>
  <c r="AF16" i="202"/>
  <c r="AF15" i="202" s="1"/>
  <c r="AE15" i="202"/>
  <c r="V15" i="5"/>
  <c r="W15" i="5" l="1"/>
  <c r="X15" i="5" l="1"/>
  <c r="Y15" i="5" l="1"/>
  <c r="Z15" i="5" l="1"/>
  <c r="AA15" i="5" l="1"/>
  <c r="AB15" i="5" l="1"/>
  <c r="AC15" i="5" l="1"/>
  <c r="AD15" i="5" l="1"/>
  <c r="AF15" i="5" l="1"/>
  <c r="AE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D5" authorId="0" shapeId="0" xr:uid="{543D6F8C-2A00-406C-8AC5-7237B85AF61B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  <comment ref="A14" authorId="0" shapeId="0" xr:uid="{D2B5CCF6-475E-466D-893E-71AEC8574332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C7" authorId="0" shapeId="0" xr:uid="{3F5AE9C1-D699-4938-8725-65A46334A5C5}">
      <text>
        <r>
          <rPr>
            <b/>
            <sz val="9"/>
            <color indexed="81"/>
            <rFont val="Segoe UI"/>
            <family val="2"/>
          </rPr>
          <t>Luciano Guilherme da Costa Olegário:</t>
        </r>
        <r>
          <rPr>
            <sz val="9"/>
            <color indexed="81"/>
            <rFont val="Segoe UI"/>
            <family val="2"/>
          </rPr>
          <t xml:space="preserve">
Selecione o mês desejado</t>
        </r>
      </text>
    </comment>
    <comment ref="B8" authorId="0" shapeId="0" xr:uid="{AB1994F2-2AAD-40F1-93E8-67D90AFA40C6}">
      <text>
        <r>
          <rPr>
            <b/>
            <sz val="9"/>
            <color indexed="81"/>
            <rFont val="Segoe UI"/>
            <family val="2"/>
          </rPr>
          <t>Clique em gerar relatório para puxar as informações.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D5" authorId="0" shapeId="0" xr:uid="{D71F4D42-3568-4E29-8ED7-D1E802C1AD2B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  <comment ref="A14" authorId="0" shapeId="0" xr:uid="{D9082D81-F7AC-4523-B17A-A26DDF5ADB2C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D5" authorId="0" shapeId="0" xr:uid="{4FAE11CD-7B6C-4432-9614-141CC3106506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  <comment ref="A14" authorId="0" shapeId="0" xr:uid="{FF39C614-8F74-4B52-9038-5B2596FF72FF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D5" authorId="0" shapeId="0" xr:uid="{F0215EDF-FF74-4861-B2FF-845C54A4B0DF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  <comment ref="A14" authorId="0" shapeId="0" xr:uid="{D56EF278-AFF2-400B-A6D0-DB4C51FD0AD7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D5" authorId="0" shapeId="0" xr:uid="{076FC09A-84D7-4C66-8D19-F768EDB9CEE1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  <comment ref="A14" authorId="0" shapeId="0" xr:uid="{FF2771F3-609D-4C72-B855-9710117FA577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D5" authorId="0" shapeId="0" xr:uid="{502A8438-CC1E-4E3E-9D57-EC8D80942815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  <comment ref="A14" authorId="0" shapeId="0" xr:uid="{A4916216-7490-4690-AEB0-C7B08F2E5AF3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D5" authorId="0" shapeId="0" xr:uid="{A9F6C277-0598-4C99-B07E-DE9F35EF1779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  <comment ref="A14" authorId="0" shapeId="0" xr:uid="{85C19222-F528-4289-8888-02A5B8BE6572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D5" authorId="0" shapeId="0" xr:uid="{1045E1AD-6FBB-47A4-828C-AE62002A9FD3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  <comment ref="A14" authorId="0" shapeId="0" xr:uid="{C913FE6B-4D1E-465D-9FD4-27CB22286943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D5" authorId="0" shapeId="0" xr:uid="{8871B28A-C922-4A7F-BF6D-51531C259D60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  <comment ref="A14" authorId="0" shapeId="0" xr:uid="{86FCECE8-6DFC-4BF5-BFFB-4005A2F76BFF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D5" authorId="0" shapeId="0" xr:uid="{192752E4-27A1-4F44-A13A-DB5DAC74AA46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  <comment ref="A14" authorId="0" shapeId="0" xr:uid="{7163D889-180E-4700-B0E4-E3D28F0DBD22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D5" authorId="0" shapeId="0" xr:uid="{8B9E3EFA-2412-4D66-BA67-0DA4E4CF7BEB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  <comment ref="A14" authorId="0" shapeId="0" xr:uid="{144B3607-F379-412E-A027-17C382095137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D5" authorId="0" shapeId="0" xr:uid="{49D7B9DB-6CB1-4CBD-86F3-4892C3941F9C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  <comment ref="A14" authorId="0" shapeId="0" xr:uid="{BC9A6A2D-6AA2-4BF1-B18C-2AB5D6927A8B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D5" authorId="0" shapeId="0" xr:uid="{3281CD67-69CC-4516-968B-8D5C7A9EAFB6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  <comment ref="A14" authorId="0" shapeId="0" xr:uid="{C0F290C5-52D2-4E5B-A806-0D6FDB33414C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<sst xmlns="http://schemas.openxmlformats.org/spreadsheetml/2006/main" count="3146" uniqueCount="95">
  <si>
    <t>Configuração Escala</t>
  </si>
  <si>
    <t>Funcionários</t>
  </si>
  <si>
    <t>Caio</t>
  </si>
  <si>
    <t>T1</t>
  </si>
  <si>
    <t>Paulo</t>
  </si>
  <si>
    <t>Roberta</t>
  </si>
  <si>
    <t>Gustavo</t>
  </si>
  <si>
    <t>Renato</t>
  </si>
  <si>
    <t>T2</t>
  </si>
  <si>
    <t>Danilo</t>
  </si>
  <si>
    <t>Henrique</t>
  </si>
  <si>
    <t>T3</t>
  </si>
  <si>
    <t>Rafael</t>
  </si>
  <si>
    <t>Feriados</t>
  </si>
  <si>
    <t>Data</t>
  </si>
  <si>
    <t>Férias</t>
  </si>
  <si>
    <t>VA</t>
  </si>
  <si>
    <t xml:space="preserve"> Matutino</t>
  </si>
  <si>
    <t>Final de semana</t>
  </si>
  <si>
    <t>Fim Mês</t>
  </si>
  <si>
    <t>Folga</t>
  </si>
  <si>
    <t>DO</t>
  </si>
  <si>
    <t>E1</t>
  </si>
  <si>
    <t>Matutino</t>
  </si>
  <si>
    <t>Último Dia</t>
  </si>
  <si>
    <t>Feriado</t>
  </si>
  <si>
    <t>FE</t>
  </si>
  <si>
    <t>10:00/19:00</t>
  </si>
  <si>
    <t>E2</t>
  </si>
  <si>
    <t>Vespertino</t>
  </si>
  <si>
    <t>13:00/22:00</t>
  </si>
  <si>
    <t>E3</t>
  </si>
  <si>
    <t>Noturno</t>
  </si>
  <si>
    <t xml:space="preserve"> Noturno</t>
  </si>
  <si>
    <t>Data Inicial</t>
  </si>
  <si>
    <t>Data Final</t>
  </si>
  <si>
    <t>Lista Funcionários</t>
  </si>
  <si>
    <t>Horários</t>
  </si>
  <si>
    <t>Lista Turnos</t>
  </si>
  <si>
    <t>Turno</t>
  </si>
  <si>
    <t>Folgas</t>
  </si>
  <si>
    <t>Fim Semana</t>
  </si>
  <si>
    <t>Funcionários Férias</t>
  </si>
  <si>
    <t>Controladores</t>
  </si>
  <si>
    <t>Adiciona novo funcionário na lista de funcionários.</t>
  </si>
  <si>
    <t xml:space="preserve">Cria as demais escalas à partir da escala principal de gerenciamento. </t>
  </si>
  <si>
    <t>Exclui funcionário da lista de funcionários.</t>
  </si>
  <si>
    <t>Preenche automáticamente a escala com o turno informado e o nome do funcionário.</t>
  </si>
  <si>
    <t>Adiciona novo horário na lista.</t>
  </si>
  <si>
    <t>Trabalham da mesma maneira, utilizado para limpar a escala.</t>
  </si>
  <si>
    <t>Remove o horário da lista.</t>
  </si>
  <si>
    <t xml:space="preserve"> Direciona para a planilha dashboard.</t>
  </si>
  <si>
    <t>Define o período que o funcionário estará de férias.</t>
  </si>
  <si>
    <t xml:space="preserve"> Direciona para a planilha de configurações.</t>
  </si>
  <si>
    <t>Imprime a planilha.</t>
  </si>
  <si>
    <t>Deleta as planilhas adicionais geradas.</t>
  </si>
  <si>
    <t>Retorna para a planilha principal.</t>
  </si>
  <si>
    <t>01/01 - Ano Novo</t>
  </si>
  <si>
    <t>21/04 - Tiradentes</t>
  </si>
  <si>
    <t>01/05 - Dia do Trabalho</t>
  </si>
  <si>
    <t>07/09 - Indep. Brasil</t>
  </si>
  <si>
    <t>12/10 - Nossa Senhora</t>
  </si>
  <si>
    <t>02/11 - Finados</t>
  </si>
  <si>
    <t>15/11 - Procla. Republica</t>
  </si>
  <si>
    <t>20/11 - Consciência Negra</t>
  </si>
  <si>
    <t>25/12 - Natal</t>
  </si>
  <si>
    <t>25/01 - Aniversário SP</t>
  </si>
  <si>
    <t>SD</t>
  </si>
  <si>
    <t>Afastamento</t>
  </si>
  <si>
    <t>OT</t>
  </si>
  <si>
    <t>Hora Extra</t>
  </si>
  <si>
    <t>Anos</t>
  </si>
  <si>
    <t>Qtd Hora Extra</t>
  </si>
  <si>
    <t>Raysa</t>
  </si>
  <si>
    <t>Lucas</t>
  </si>
  <si>
    <t xml:space="preserve">Tabela de Configuração </t>
  </si>
  <si>
    <t>Relação Férias\ SickDay</t>
  </si>
  <si>
    <t>Altera o nome do funcionário na lista.</t>
  </si>
  <si>
    <t>Define as folgas, mas para isso o finais de semana já precisam estar preenchidos.</t>
  </si>
  <si>
    <t>Define os dias que funcionário estará de afastamento, isso é realizado pela tabela de relação.</t>
  </si>
  <si>
    <t>Matheus</t>
  </si>
  <si>
    <t>HB</t>
  </si>
  <si>
    <t>Aniversário</t>
  </si>
  <si>
    <t>07:00/16:00</t>
  </si>
  <si>
    <t>22:00/07:00</t>
  </si>
  <si>
    <t>Mês</t>
  </si>
  <si>
    <t>Funcionário Férias</t>
  </si>
  <si>
    <t>Qt Turnos</t>
  </si>
  <si>
    <t/>
  </si>
  <si>
    <t>Março</t>
  </si>
  <si>
    <t>03/04 - Sexta Feira Santa</t>
  </si>
  <si>
    <t>04/06 - Corpus Cristi</t>
  </si>
  <si>
    <t>09/07 - Revol. Constitucionalista</t>
  </si>
  <si>
    <t>17/02 - Carnaval</t>
  </si>
  <si>
    <t>09:30/18:30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</si>
</sst>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$&quot;* #,##0.00_);_(&quot;R$&quot;* \(#,##0.00\);_(&quot;R$&quot;* &quot;-&quot;??_);_(@_)"/>
    <numFmt numFmtId="165" formatCode="d/m;@"/>
  </numFmts>
  <fonts count="19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  <scheme val="minor"/>
    </font>
    <font>
      <sz val="24"/>
      <color theme="0"/>
      <name val="Aptos Narrow"/>
      <family val="2"/>
      <scheme val="minor"/>
    </font>
    <font>
      <sz val="28"/>
      <color theme="0"/>
      <name val="Century Gothic"/>
      <family val="2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name val="Aptos Display"/>
      <family val="2"/>
      <scheme val="major"/>
    </font>
    <font>
      <b/>
      <sz val="12"/>
      <color theme="0"/>
      <name val="Aptos Narrow"/>
      <family val="2"/>
      <scheme val="minor"/>
    </font>
    <font>
      <sz val="11"/>
      <color theme="0"/>
      <name val="Times New Roman"/>
      <family val="1"/>
    </font>
    <font>
      <sz val="18"/>
      <color theme="0"/>
      <name val="Times New Roman"/>
      <family val="1"/>
    </font>
    <font>
      <sz val="11"/>
      <color theme="1"/>
      <name val="Times New Roman"/>
      <family val="1"/>
    </font>
    <font>
      <b/>
      <sz val="12"/>
      <color theme="0"/>
      <name val="Times New Roman"/>
      <family val="1"/>
    </font>
    <font>
      <b/>
      <sz val="11"/>
      <color theme="1"/>
      <name val="Times New Roman"/>
      <family val="1"/>
    </font>
    <font>
      <sz val="12"/>
      <color theme="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09EE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FF993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rgb="FFC00000"/>
      </right>
      <top style="thin">
        <color theme="1"/>
      </top>
      <bottom style="thin">
        <color theme="1"/>
      </bottom>
      <diagonal/>
    </border>
    <border>
      <left style="thin">
        <color rgb="FFC0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rgb="FFCC0000"/>
      </right>
      <top style="thin">
        <color theme="1"/>
      </top>
      <bottom style="thin">
        <color theme="1"/>
      </bottom>
      <diagonal/>
    </border>
    <border>
      <left style="thin">
        <color rgb="FFCC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indexed="64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16">
    <xf numFmtId="0" fontId="0" fillId="0" borderId="0" xfId="0"/>
    <xf numFmtId="0" fontId="0" fillId="2" borderId="0" xfId="0" applyFill="1"/>
    <xf numFmtId="0" fontId="0" fillId="2" borderId="10" xfId="0" applyFill="1" applyBorder="1"/>
    <xf numFmtId="0" fontId="0" fillId="0" borderId="0" xfId="0" applyAlignment="1">
      <alignment horizontal="center" vertical="center"/>
    </xf>
    <xf numFmtId="0" fontId="12" fillId="4" borderId="15" xfId="0" applyFont="1" applyFill="1" applyBorder="1" applyAlignment="1">
      <alignment horizontal="center" vertical="center"/>
    </xf>
    <xf numFmtId="14" fontId="0" fillId="2" borderId="12" xfId="0" applyNumberFormat="1" applyFill="1" applyBorder="1" applyAlignment="1">
      <alignment horizontal="center"/>
    </xf>
    <xf numFmtId="14" fontId="0" fillId="2" borderId="13" xfId="0" applyNumberFormat="1" applyFill="1" applyBorder="1" applyAlignment="1">
      <alignment horizontal="center"/>
    </xf>
    <xf numFmtId="14" fontId="0" fillId="2" borderId="15" xfId="0" applyNumberFormat="1" applyFill="1" applyBorder="1" applyAlignment="1">
      <alignment horizontal="center"/>
    </xf>
    <xf numFmtId="0" fontId="6" fillId="4" borderId="15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3" fillId="7" borderId="2" xfId="0" applyFont="1" applyFill="1" applyBorder="1" applyAlignment="1">
      <alignment horizontal="left" vertical="center"/>
    </xf>
    <xf numFmtId="164" fontId="3" fillId="7" borderId="2" xfId="3" applyFont="1" applyFill="1" applyBorder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164" fontId="3" fillId="7" borderId="0" xfId="3" applyFont="1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7" fillId="8" borderId="19" xfId="0" applyFont="1" applyFill="1" applyBorder="1" applyAlignment="1">
      <alignment horizontal="center"/>
    </xf>
    <xf numFmtId="0" fontId="7" fillId="9" borderId="19" xfId="0" applyFont="1" applyFill="1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7" fillId="0" borderId="19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165" fontId="11" fillId="2" borderId="19" xfId="1" applyNumberFormat="1" applyFont="1" applyFill="1" applyBorder="1" applyAlignment="1">
      <alignment horizontal="center" vertical="center"/>
    </xf>
    <xf numFmtId="165" fontId="7" fillId="0" borderId="19" xfId="0" applyNumberFormat="1" applyFont="1" applyBorder="1" applyAlignment="1">
      <alignment horizontal="center"/>
    </xf>
    <xf numFmtId="165" fontId="7" fillId="0" borderId="28" xfId="0" applyNumberFormat="1" applyFont="1" applyBorder="1" applyAlignment="1">
      <alignment horizontal="center"/>
    </xf>
    <xf numFmtId="0" fontId="15" fillId="2" borderId="27" xfId="0" applyFont="1" applyFill="1" applyBorder="1" applyAlignment="1">
      <alignment horizontal="left" vertical="center"/>
    </xf>
    <xf numFmtId="0" fontId="7" fillId="2" borderId="28" xfId="0" applyFont="1" applyFill="1" applyBorder="1" applyAlignment="1">
      <alignment horizontal="center"/>
    </xf>
    <xf numFmtId="0" fontId="15" fillId="2" borderId="29" xfId="0" applyFont="1" applyFill="1" applyBorder="1" applyAlignment="1">
      <alignment horizontal="left" vertical="center"/>
    </xf>
    <xf numFmtId="0" fontId="7" fillId="2" borderId="30" xfId="0" applyFont="1" applyFill="1" applyBorder="1" applyAlignment="1">
      <alignment horizontal="center"/>
    </xf>
    <xf numFmtId="0" fontId="7" fillId="2" borderId="31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" borderId="19" xfId="0" applyFill="1" applyBorder="1"/>
    <xf numFmtId="0" fontId="7" fillId="2" borderId="32" xfId="0" applyFont="1" applyFill="1" applyBorder="1" applyAlignment="1">
      <alignment horizontal="center"/>
    </xf>
    <xf numFmtId="164" fontId="3" fillId="7" borderId="1" xfId="3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left" vertical="center"/>
    </xf>
    <xf numFmtId="164" fontId="3" fillId="7" borderId="10" xfId="3" applyFont="1" applyFill="1" applyBorder="1" applyAlignment="1">
      <alignment horizontal="center" vertical="center"/>
    </xf>
    <xf numFmtId="0" fontId="15" fillId="2" borderId="19" xfId="0" applyFont="1" applyFill="1" applyBorder="1"/>
    <xf numFmtId="0" fontId="15" fillId="2" borderId="19" xfId="0" applyFont="1" applyFill="1" applyBorder="1" applyAlignment="1">
      <alignment horizontal="left"/>
    </xf>
    <xf numFmtId="0" fontId="15" fillId="0" borderId="19" xfId="0" applyFont="1" applyBorder="1" applyAlignment="1">
      <alignment horizontal="center"/>
    </xf>
    <xf numFmtId="164" fontId="3" fillId="7" borderId="0" xfId="3" applyFont="1" applyFill="1" applyAlignment="1">
      <alignment horizontal="center" vertical="center"/>
    </xf>
    <xf numFmtId="0" fontId="4" fillId="7" borderId="0" xfId="0" applyFont="1" applyFill="1" applyAlignment="1">
      <alignment horizontal="left" vertical="center"/>
    </xf>
    <xf numFmtId="0" fontId="0" fillId="2" borderId="0" xfId="0" applyFill="1" applyAlignment="1">
      <alignment horizontal="center"/>
    </xf>
    <xf numFmtId="0" fontId="13" fillId="7" borderId="27" xfId="0" applyFont="1" applyFill="1" applyBorder="1" applyAlignment="1">
      <alignment vertical="center"/>
    </xf>
    <xf numFmtId="0" fontId="0" fillId="2" borderId="1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3" xfId="0" applyFill="1" applyBorder="1" applyAlignment="1">
      <alignment horizontal="left" vertical="center"/>
    </xf>
    <xf numFmtId="165" fontId="0" fillId="2" borderId="7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8" fillId="7" borderId="15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center" wrapText="1"/>
    </xf>
    <xf numFmtId="0" fontId="0" fillId="2" borderId="11" xfId="0" applyFill="1" applyBorder="1" applyAlignment="1">
      <alignment horizontal="center" vertical="center"/>
    </xf>
    <xf numFmtId="0" fontId="0" fillId="2" borderId="13" xfId="0" applyFill="1" applyBorder="1" applyAlignment="1">
      <alignment horizontal="left"/>
    </xf>
    <xf numFmtId="0" fontId="0" fillId="2" borderId="14" xfId="0" applyFill="1" applyBorder="1" applyAlignment="1">
      <alignment horizontal="left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17" fillId="2" borderId="32" xfId="0" applyFont="1" applyFill="1" applyBorder="1" applyAlignment="1">
      <alignment horizontal="center"/>
    </xf>
    <xf numFmtId="0" fontId="15" fillId="2" borderId="36" xfId="0" applyFont="1" applyFill="1" applyBorder="1" applyAlignment="1">
      <alignment horizontal="center"/>
    </xf>
    <xf numFmtId="0" fontId="17" fillId="2" borderId="37" xfId="0" applyFont="1" applyFill="1" applyBorder="1" applyAlignment="1">
      <alignment horizontal="center"/>
    </xf>
    <xf numFmtId="0" fontId="13" fillId="5" borderId="38" xfId="0" applyFont="1" applyFill="1" applyBorder="1" applyAlignment="1">
      <alignment horizontal="left"/>
    </xf>
    <xf numFmtId="0" fontId="0" fillId="2" borderId="39" xfId="0" applyFill="1" applyBorder="1"/>
    <xf numFmtId="0" fontId="13" fillId="5" borderId="40" xfId="0" applyFont="1" applyFill="1" applyBorder="1" applyAlignment="1">
      <alignment horizontal="left"/>
    </xf>
    <xf numFmtId="0" fontId="15" fillId="2" borderId="41" xfId="0" applyFont="1" applyFill="1" applyBorder="1" applyAlignment="1">
      <alignment horizontal="left"/>
    </xf>
    <xf numFmtId="0" fontId="0" fillId="2" borderId="41" xfId="0" applyFill="1" applyBorder="1"/>
    <xf numFmtId="0" fontId="0" fillId="2" borderId="42" xfId="0" applyFill="1" applyBorder="1"/>
    <xf numFmtId="0" fontId="14" fillId="7" borderId="24" xfId="1" applyFont="1" applyFill="1" applyBorder="1" applyAlignment="1">
      <alignment horizontal="center" vertical="center"/>
    </xf>
    <xf numFmtId="0" fontId="14" fillId="7" borderId="25" xfId="1" applyFont="1" applyFill="1" applyBorder="1" applyAlignment="1">
      <alignment horizontal="center" vertical="center"/>
    </xf>
    <xf numFmtId="0" fontId="14" fillId="7" borderId="26" xfId="1" applyFont="1" applyFill="1" applyBorder="1" applyAlignment="1">
      <alignment horizontal="center" vertical="center"/>
    </xf>
    <xf numFmtId="0" fontId="13" fillId="7" borderId="19" xfId="0" applyFont="1" applyFill="1" applyBorder="1" applyAlignment="1">
      <alignment horizontal="left" vertical="center"/>
    </xf>
    <xf numFmtId="14" fontId="0" fillId="6" borderId="19" xfId="0" applyNumberFormat="1" applyFill="1" applyBorder="1" applyAlignment="1">
      <alignment horizontal="center"/>
    </xf>
    <xf numFmtId="14" fontId="0" fillId="2" borderId="19" xfId="0" applyNumberFormat="1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9" xfId="0" applyFill="1" applyBorder="1" applyAlignment="1">
      <alignment horizontal="center" vertical="center"/>
    </xf>
    <xf numFmtId="0" fontId="13" fillId="7" borderId="19" xfId="0" applyFont="1" applyFill="1" applyBorder="1" applyAlignment="1" applyProtection="1">
      <alignment horizontal="left" vertical="center"/>
      <protection locked="0"/>
    </xf>
    <xf numFmtId="0" fontId="13" fillId="7" borderId="22" xfId="0" applyFont="1" applyFill="1" applyBorder="1" applyAlignment="1">
      <alignment horizontal="left" vertical="center"/>
    </xf>
    <xf numFmtId="0" fontId="13" fillId="7" borderId="23" xfId="0" applyFont="1" applyFill="1" applyBorder="1" applyAlignment="1">
      <alignment horizontal="left" vertical="center"/>
    </xf>
    <xf numFmtId="0" fontId="13" fillId="7" borderId="19" xfId="0" applyFont="1" applyFill="1" applyBorder="1" applyAlignment="1" applyProtection="1">
      <alignment horizontal="center" vertical="center"/>
      <protection locked="0"/>
    </xf>
    <xf numFmtId="0" fontId="13" fillId="7" borderId="20" xfId="0" applyFont="1" applyFill="1" applyBorder="1" applyAlignment="1" applyProtection="1">
      <alignment horizontal="left" vertical="center"/>
      <protection locked="0"/>
    </xf>
    <xf numFmtId="0" fontId="13" fillId="7" borderId="21" xfId="0" applyFont="1" applyFill="1" applyBorder="1" applyAlignment="1" applyProtection="1">
      <alignment horizontal="left" vertical="center"/>
      <protection locked="0"/>
    </xf>
    <xf numFmtId="0" fontId="3" fillId="7" borderId="2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16" fillId="7" borderId="19" xfId="0" applyFont="1" applyFill="1" applyBorder="1" applyAlignment="1">
      <alignment horizontal="center" vertical="center"/>
    </xf>
    <xf numFmtId="0" fontId="18" fillId="7" borderId="33" xfId="0" applyFont="1" applyFill="1" applyBorder="1" applyAlignment="1">
      <alignment horizontal="center" vertical="center"/>
    </xf>
    <xf numFmtId="0" fontId="18" fillId="7" borderId="34" xfId="0" applyFont="1" applyFill="1" applyBorder="1" applyAlignment="1">
      <alignment horizontal="center" vertical="center"/>
    </xf>
    <xf numFmtId="0" fontId="18" fillId="7" borderId="35" xfId="0" applyFont="1" applyFill="1" applyBorder="1" applyAlignment="1">
      <alignment horizontal="center" vertical="center"/>
    </xf>
    <xf numFmtId="0" fontId="18" fillId="7" borderId="19" xfId="0" applyFont="1" applyFill="1" applyBorder="1" applyAlignment="1">
      <alignment horizontal="center" vertical="center"/>
    </xf>
    <xf numFmtId="0" fontId="15" fillId="2" borderId="19" xfId="0" applyFont="1" applyFill="1" applyBorder="1" applyAlignment="1">
      <alignment horizontal="center"/>
    </xf>
    <xf numFmtId="0" fontId="15" fillId="0" borderId="19" xfId="0" applyFont="1" applyBorder="1" applyAlignment="1">
      <alignment horizontal="center"/>
    </xf>
    <xf numFmtId="0" fontId="6" fillId="5" borderId="19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18" fillId="7" borderId="7" xfId="0" applyFont="1" applyFill="1" applyBorder="1" applyAlignment="1">
      <alignment horizontal="center" vertical="center"/>
    </xf>
    <xf numFmtId="0" fontId="18" fillId="7" borderId="8" xfId="0" applyFont="1" applyFill="1" applyBorder="1" applyAlignment="1">
      <alignment horizontal="center" vertical="center"/>
    </xf>
    <xf numFmtId="0" fontId="18" fillId="7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3" fillId="7" borderId="43" xfId="0" applyFont="1" applyFill="1" applyBorder="1" applyAlignment="1">
      <alignment horizontal="center" vertical="center"/>
    </xf>
    <xf numFmtId="0" fontId="13" fillId="7" borderId="44" xfId="0" applyFont="1" applyFill="1" applyBorder="1" applyAlignment="1">
      <alignment horizontal="center" vertical="center"/>
    </xf>
  </cellXfs>
  <cellStyles count="5">
    <cellStyle name="Moeda" xfId="3" builtinId="4"/>
    <cellStyle name="Moeda 2" xfId="4" xr:uid="{2DD5B8DE-B676-4EF8-8C46-D3F497757F8D}"/>
    <cellStyle name="Normal" xfId="0" builtinId="0"/>
    <cellStyle name="Normal 2" xfId="2" xr:uid="{26F07A6D-0713-460A-B5EE-7689C3C12612}"/>
    <cellStyle name="Normal 3" xfId="1" xr:uid="{64F7AC15-0E8B-48A2-AE83-C2F9A177BDFB}"/>
  </cellStyles>
  <dxfs count="1192"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5" tint="0.39994506668294322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5" tint="0.39994506668294322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1"/>
      </font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7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FF9933"/>
      <color rgb="FF990033"/>
      <color rgb="FFA50021"/>
      <color rgb="FFCC0000"/>
      <color rgb="FF1E88B8"/>
      <color rgb="FF00CC00"/>
      <color rgb="FFFF5050"/>
      <color rgb="FF66CCFF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pt-BR"/>
              <a:t>Dashboard Escala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6912900321186172E-2"/>
          <c:y val="0.1140903209584226"/>
          <c:w val="0.84724731934105513"/>
          <c:h val="0.64774820350450912"/>
        </c:manualLayout>
      </c:layout>
      <c:barChart>
        <c:barDir val="col"/>
        <c:grouping val="clustered"/>
        <c:varyColors val="0"/>
        <c:ser>
          <c:idx val="0"/>
          <c:order val="0"/>
          <c:tx>
            <c:v>Funcionários</c:v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Dashboard!$B$22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B4-4D97-879C-FF33CC34EF28}"/>
            </c:ext>
          </c:extLst>
        </c:ser>
        <c:ser>
          <c:idx val="1"/>
          <c:order val="1"/>
          <c:tx>
            <c:v>Férias</c:v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Dashboard!$K$22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B4-4D97-879C-FF33CC34EF28}"/>
            </c:ext>
          </c:extLst>
        </c:ser>
        <c:ser>
          <c:idx val="2"/>
          <c:order val="2"/>
          <c:tx>
            <c:v>Turnos</c:v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Dashboard!$V$22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B4-4D97-879C-FF33CC34EF28}"/>
            </c:ext>
          </c:extLst>
        </c:ser>
        <c:ser>
          <c:idx val="3"/>
          <c:order val="3"/>
          <c:tx>
            <c:v>Feriados</c:v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Dashboard!$AF$22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B4-4D97-879C-FF33CC34EF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552412016"/>
        <c:axId val="34721968"/>
      </c:barChart>
      <c:catAx>
        <c:axId val="155241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721968"/>
        <c:crosses val="autoZero"/>
        <c:auto val="1"/>
        <c:lblAlgn val="ctr"/>
        <c:lblOffset val="100"/>
        <c:noMultiLvlLbl val="0"/>
      </c:catAx>
      <c:valAx>
        <c:axId val="347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241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" t="0.78740157499999996" header="0.31496062000000002" footer="0.31496062000000002"/>
    <c:pageSetup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171450</xdr:rowOff>
    </xdr:from>
    <xdr:ext cx="3886200" cy="53258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C2132B3-B47B-3118-AD3C-C83167528C2A}"/>
            </a:ext>
          </a:extLst>
        </xdr:cNvPr>
        <xdr:cNvSpPr txBox="1"/>
      </xdr:nvSpPr>
      <xdr:spPr>
        <a:xfrm>
          <a:off x="171450" y="171450"/>
          <a:ext cx="3886200" cy="5325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r>
            <a:rPr lang="pt-BR" sz="2800" b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</xdr:txBody>
    </xdr:sp>
    <xdr:clientData/>
  </xdr:oneCellAnchor>
  <xdr:twoCellAnchor editAs="oneCell">
    <xdr:from>
      <xdr:col>25</xdr:col>
      <xdr:colOff>123961</xdr:colOff>
      <xdr:row>0</xdr:row>
      <xdr:rowOff>419895</xdr:rowOff>
    </xdr:from>
    <xdr:to>
      <xdr:col>30</xdr:col>
      <xdr:colOff>416296</xdr:colOff>
      <xdr:row>1</xdr:row>
      <xdr:rowOff>431697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69C969-4B0E-4394-B164-DA7E197E0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42055" y="419895"/>
          <a:ext cx="2494991" cy="79269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71437</xdr:colOff>
      <xdr:row>1</xdr:row>
      <xdr:rowOff>511969</xdr:rowOff>
    </xdr:from>
    <xdr:to>
      <xdr:col>1</xdr:col>
      <xdr:colOff>130968</xdr:colOff>
      <xdr:row>1</xdr:row>
      <xdr:rowOff>897731</xdr:rowOff>
    </xdr:to>
    <xdr:sp macro="[0]!Módulo12.AdicionarTurno" textlink="">
      <xdr:nvSpPr>
        <xdr:cNvPr id="12" name="Retângulo: Cantos Arredondados 11" descr="Botão que adiciona um novo turno.">
          <a:extLst>
            <a:ext uri="{FF2B5EF4-FFF2-40B4-BE49-F238E27FC236}">
              <a16:creationId xmlns:a16="http://schemas.microsoft.com/office/drawing/2014/main" id="{34D49FE7-F2F5-442D-BDA8-818E29391851}"/>
            </a:ext>
          </a:extLst>
        </xdr:cNvPr>
        <xdr:cNvSpPr/>
      </xdr:nvSpPr>
      <xdr:spPr>
        <a:xfrm>
          <a:off x="71437" y="1285875"/>
          <a:ext cx="904875" cy="38576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Turnos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190498</xdr:colOff>
      <xdr:row>1</xdr:row>
      <xdr:rowOff>511969</xdr:rowOff>
    </xdr:from>
    <xdr:to>
      <xdr:col>3</xdr:col>
      <xdr:colOff>83343</xdr:colOff>
      <xdr:row>1</xdr:row>
      <xdr:rowOff>892969</xdr:rowOff>
    </xdr:to>
    <xdr:sp macro="[0]!Feria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01C5287-EC1B-4A76-A8D2-D264DCA477FC}"/>
            </a:ext>
          </a:extLst>
        </xdr:cNvPr>
        <xdr:cNvSpPr/>
      </xdr:nvSpPr>
      <xdr:spPr>
        <a:xfrm>
          <a:off x="1035842" y="1285875"/>
          <a:ext cx="797720" cy="381000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Férias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145256</xdr:colOff>
      <xdr:row>1</xdr:row>
      <xdr:rowOff>511967</xdr:rowOff>
    </xdr:from>
    <xdr:to>
      <xdr:col>6</xdr:col>
      <xdr:colOff>178594</xdr:colOff>
      <xdr:row>1</xdr:row>
      <xdr:rowOff>892969</xdr:rowOff>
    </xdr:to>
    <xdr:sp macro="[0]!LimparEscal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71CA448-2E86-4182-AC66-E4E316F50900}"/>
            </a:ext>
          </a:extLst>
        </xdr:cNvPr>
        <xdr:cNvSpPr/>
      </xdr:nvSpPr>
      <xdr:spPr>
        <a:xfrm>
          <a:off x="1895475" y="1285873"/>
          <a:ext cx="1069182" cy="38100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Limpar Escala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252415</xdr:colOff>
      <xdr:row>1</xdr:row>
      <xdr:rowOff>523877</xdr:rowOff>
    </xdr:from>
    <xdr:to>
      <xdr:col>8</xdr:col>
      <xdr:colOff>297656</xdr:colOff>
      <xdr:row>1</xdr:row>
      <xdr:rowOff>904876</xdr:rowOff>
    </xdr:to>
    <xdr:sp macro="[0]!Imprimir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7B7C0B2F-1A51-468C-AD66-738906281737}"/>
            </a:ext>
          </a:extLst>
        </xdr:cNvPr>
        <xdr:cNvSpPr/>
      </xdr:nvSpPr>
      <xdr:spPr>
        <a:xfrm>
          <a:off x="3038478" y="1297783"/>
          <a:ext cx="842959" cy="380999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Imprimir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0</xdr:colOff>
      <xdr:row>1</xdr:row>
      <xdr:rowOff>511969</xdr:rowOff>
    </xdr:from>
    <xdr:to>
      <xdr:col>11</xdr:col>
      <xdr:colOff>226219</xdr:colOff>
      <xdr:row>1</xdr:row>
      <xdr:rowOff>916781</xdr:rowOff>
    </xdr:to>
    <xdr:sp macro="[0]!Dashboard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B0D0AB94-1668-4152-98E8-29AAE79C5DE1}"/>
            </a:ext>
          </a:extLst>
        </xdr:cNvPr>
        <xdr:cNvSpPr/>
      </xdr:nvSpPr>
      <xdr:spPr>
        <a:xfrm>
          <a:off x="3964781" y="1285875"/>
          <a:ext cx="988219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Dashboard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302420</xdr:colOff>
      <xdr:row>1</xdr:row>
      <xdr:rowOff>511968</xdr:rowOff>
    </xdr:from>
    <xdr:to>
      <xdr:col>14</xdr:col>
      <xdr:colOff>202407</xdr:colOff>
      <xdr:row>1</xdr:row>
      <xdr:rowOff>916780</xdr:rowOff>
    </xdr:to>
    <xdr:sp macro="[0]!Configurac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F9EF9EE8-56D3-47A8-B5E2-61087B42E9F9}"/>
            </a:ext>
          </a:extLst>
        </xdr:cNvPr>
        <xdr:cNvSpPr/>
      </xdr:nvSpPr>
      <xdr:spPr>
        <a:xfrm>
          <a:off x="5029201" y="1285874"/>
          <a:ext cx="1150144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Configuração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83346</xdr:colOff>
      <xdr:row>1</xdr:row>
      <xdr:rowOff>23813</xdr:rowOff>
    </xdr:from>
    <xdr:to>
      <xdr:col>2</xdr:col>
      <xdr:colOff>59531</xdr:colOff>
      <xdr:row>1</xdr:row>
      <xdr:rowOff>428625</xdr:rowOff>
    </xdr:to>
    <xdr:sp macro="[0]!AdicionarFuncionari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7850311-C774-4E1A-9031-9CD35B88A1C8}"/>
            </a:ext>
          </a:extLst>
        </xdr:cNvPr>
        <xdr:cNvSpPr/>
      </xdr:nvSpPr>
      <xdr:spPr>
        <a:xfrm>
          <a:off x="83346" y="797719"/>
          <a:ext cx="1273966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Novo Funcionário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119063</xdr:colOff>
      <xdr:row>1</xdr:row>
      <xdr:rowOff>35717</xdr:rowOff>
    </xdr:from>
    <xdr:to>
      <xdr:col>6</xdr:col>
      <xdr:colOff>11907</xdr:colOff>
      <xdr:row>1</xdr:row>
      <xdr:rowOff>440529</xdr:rowOff>
    </xdr:to>
    <xdr:sp macro="[0]!DeletarFuncionari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8609F02-687A-4B70-A7AF-63821E91AE5D}"/>
            </a:ext>
          </a:extLst>
        </xdr:cNvPr>
        <xdr:cNvSpPr/>
      </xdr:nvSpPr>
      <xdr:spPr>
        <a:xfrm>
          <a:off x="1416844" y="809623"/>
          <a:ext cx="1381126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Deletar Funcionário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83343</xdr:colOff>
      <xdr:row>1</xdr:row>
      <xdr:rowOff>47624</xdr:rowOff>
    </xdr:from>
    <xdr:to>
      <xdr:col>9</xdr:col>
      <xdr:colOff>176212</xdr:colOff>
      <xdr:row>1</xdr:row>
      <xdr:rowOff>452436</xdr:rowOff>
    </xdr:to>
    <xdr:sp macro="[0]!AdicionarHorarioList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4BD245F-D236-4771-9E44-80A1C19440E4}"/>
            </a:ext>
          </a:extLst>
        </xdr:cNvPr>
        <xdr:cNvSpPr/>
      </xdr:nvSpPr>
      <xdr:spPr>
        <a:xfrm>
          <a:off x="2869406" y="821530"/>
          <a:ext cx="1271587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Adicionar Horário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250031</xdr:colOff>
      <xdr:row>1</xdr:row>
      <xdr:rowOff>47624</xdr:rowOff>
    </xdr:from>
    <xdr:to>
      <xdr:col>12</xdr:col>
      <xdr:colOff>342899</xdr:colOff>
      <xdr:row>1</xdr:row>
      <xdr:rowOff>452436</xdr:rowOff>
    </xdr:to>
    <xdr:sp macro="[0]!RemoverHorarioList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2CD8D852-336A-4912-9CF8-00565A9AD767}"/>
            </a:ext>
          </a:extLst>
        </xdr:cNvPr>
        <xdr:cNvSpPr/>
      </xdr:nvSpPr>
      <xdr:spPr>
        <a:xfrm>
          <a:off x="4214812" y="821530"/>
          <a:ext cx="1271587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Remover Horário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404812</xdr:colOff>
      <xdr:row>1</xdr:row>
      <xdr:rowOff>47625</xdr:rowOff>
    </xdr:from>
    <xdr:to>
      <xdr:col>16</xdr:col>
      <xdr:colOff>9524</xdr:colOff>
      <xdr:row>1</xdr:row>
      <xdr:rowOff>452437</xdr:rowOff>
    </xdr:to>
    <xdr:sp macro="[0]!CriarAbasMese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4D04537A-05F9-42C1-A97B-244874DE6702}"/>
            </a:ext>
          </a:extLst>
        </xdr:cNvPr>
        <xdr:cNvSpPr/>
      </xdr:nvSpPr>
      <xdr:spPr>
        <a:xfrm>
          <a:off x="5548312" y="821531"/>
          <a:ext cx="1271587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Gerar Planilhas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369092</xdr:colOff>
      <xdr:row>1</xdr:row>
      <xdr:rowOff>511969</xdr:rowOff>
    </xdr:from>
    <xdr:to>
      <xdr:col>19</xdr:col>
      <xdr:colOff>357188</xdr:colOff>
      <xdr:row>1</xdr:row>
      <xdr:rowOff>916781</xdr:rowOff>
    </xdr:to>
    <xdr:sp macro="[0]!Ajuda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FF76512A-A2E5-47DE-9078-19D8160CA1B0}"/>
            </a:ext>
          </a:extLst>
        </xdr:cNvPr>
        <xdr:cNvSpPr/>
      </xdr:nvSpPr>
      <xdr:spPr>
        <a:xfrm>
          <a:off x="7596186" y="1285875"/>
          <a:ext cx="821533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Ajuda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71438</xdr:colOff>
      <xdr:row>1</xdr:row>
      <xdr:rowOff>47626</xdr:rowOff>
    </xdr:from>
    <xdr:to>
      <xdr:col>19</xdr:col>
      <xdr:colOff>92869</xdr:colOff>
      <xdr:row>1</xdr:row>
      <xdr:rowOff>452438</xdr:rowOff>
    </xdr:to>
    <xdr:sp macro="[0]!DeletarPlanilhas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E4CD53C8-0F38-4634-9770-32A0D0D45847}"/>
            </a:ext>
          </a:extLst>
        </xdr:cNvPr>
        <xdr:cNvSpPr/>
      </xdr:nvSpPr>
      <xdr:spPr>
        <a:xfrm>
          <a:off x="6881813" y="821532"/>
          <a:ext cx="1271587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Deletar Planilhas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33</xdr:col>
      <xdr:colOff>238125</xdr:colOff>
      <xdr:row>4</xdr:row>
      <xdr:rowOff>157750</xdr:rowOff>
    </xdr:from>
    <xdr:ext cx="3298031" cy="31149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C7116F21-1989-947F-999B-1C6B039AA502}"/>
            </a:ext>
          </a:extLst>
        </xdr:cNvPr>
        <xdr:cNvSpPr txBox="1"/>
      </xdr:nvSpPr>
      <xdr:spPr>
        <a:xfrm rot="10800000" flipV="1">
          <a:off x="15192375" y="2336594"/>
          <a:ext cx="3298031" cy="31149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0. Adicionar</a:t>
          </a:r>
          <a:r>
            <a:rPr lang="pt-BR" sz="1400" b="1" baseline="0">
              <a:solidFill>
                <a:schemeClr val="bg1"/>
              </a:solidFill>
            </a:rPr>
            <a:t> funcionário novo se houver...</a:t>
          </a:r>
          <a:endParaRPr lang="pt-BR" sz="1400" b="1">
            <a:solidFill>
              <a:schemeClr val="bg1"/>
            </a:solidFill>
          </a:endParaRPr>
        </a:p>
      </xdr:txBody>
    </xdr:sp>
    <xdr:clientData/>
  </xdr:oneCellAnchor>
  <xdr:oneCellAnchor>
    <xdr:from>
      <xdr:col>33</xdr:col>
      <xdr:colOff>234950</xdr:colOff>
      <xdr:row>12</xdr:row>
      <xdr:rowOff>32762</xdr:rowOff>
    </xdr:from>
    <xdr:ext cx="3298031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5D242F3-A432-4F9A-BBC5-8E2B2D933898}"/>
            </a:ext>
          </a:extLst>
        </xdr:cNvPr>
        <xdr:cNvSpPr txBox="1"/>
      </xdr:nvSpPr>
      <xdr:spPr>
        <a:xfrm rot="10800000" flipV="1">
          <a:off x="15141575" y="3533200"/>
          <a:ext cx="3298031" cy="31149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4. Definir férias</a:t>
          </a:r>
        </a:p>
      </xdr:txBody>
    </xdr:sp>
    <xdr:clientData/>
  </xdr:oneCellAnchor>
  <xdr:oneCellAnchor>
    <xdr:from>
      <xdr:col>33</xdr:col>
      <xdr:colOff>234950</xdr:colOff>
      <xdr:row>13</xdr:row>
      <xdr:rowOff>197825</xdr:rowOff>
    </xdr:from>
    <xdr:ext cx="3298031" cy="311496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B7DFFDC5-826D-4381-82FB-15FCEA6B73D4}"/>
            </a:ext>
          </a:extLst>
        </xdr:cNvPr>
        <xdr:cNvSpPr txBox="1"/>
      </xdr:nvSpPr>
      <xdr:spPr>
        <a:xfrm rot="10800000" flipV="1">
          <a:off x="15141575" y="3900669"/>
          <a:ext cx="3298031" cy="31149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5. Gerar relatório</a:t>
          </a:r>
        </a:p>
      </xdr:txBody>
    </xdr:sp>
    <xdr:clientData/>
  </xdr:oneCellAnchor>
  <xdr:twoCellAnchor>
    <xdr:from>
      <xdr:col>39</xdr:col>
      <xdr:colOff>199230</xdr:colOff>
      <xdr:row>5</xdr:row>
      <xdr:rowOff>30162</xdr:rowOff>
    </xdr:from>
    <xdr:to>
      <xdr:col>39</xdr:col>
      <xdr:colOff>527049</xdr:colOff>
      <xdr:row>15</xdr:row>
      <xdr:rowOff>59530</xdr:rowOff>
    </xdr:to>
    <xdr:sp macro="" textlink="">
      <xdr:nvSpPr>
        <xdr:cNvPr id="20" name="Seta: Curva para a Esquerda 19">
          <a:extLst>
            <a:ext uri="{FF2B5EF4-FFF2-40B4-BE49-F238E27FC236}">
              <a16:creationId xmlns:a16="http://schemas.microsoft.com/office/drawing/2014/main" id="{ECD81B47-7769-74C4-069F-E6D6EA16C09E}"/>
            </a:ext>
          </a:extLst>
        </xdr:cNvPr>
        <xdr:cNvSpPr/>
      </xdr:nvSpPr>
      <xdr:spPr>
        <a:xfrm>
          <a:off x="19546886" y="2173287"/>
          <a:ext cx="327819" cy="1958181"/>
        </a:xfrm>
        <a:prstGeom prst="curved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273843</xdr:colOff>
      <xdr:row>1</xdr:row>
      <xdr:rowOff>511970</xdr:rowOff>
    </xdr:from>
    <xdr:to>
      <xdr:col>17</xdr:col>
      <xdr:colOff>295274</xdr:colOff>
      <xdr:row>1</xdr:row>
      <xdr:rowOff>916782</xdr:rowOff>
    </xdr:to>
    <xdr:sp macro="[0]!Módulo8.VerificarESubstituirTurnos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F4A763BB-CE3D-4F6D-84C6-2FBC62AF425F}"/>
            </a:ext>
          </a:extLst>
        </xdr:cNvPr>
        <xdr:cNvSpPr/>
      </xdr:nvSpPr>
      <xdr:spPr>
        <a:xfrm>
          <a:off x="6250781" y="1285876"/>
          <a:ext cx="1271587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Definir Folgas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154780</xdr:colOff>
      <xdr:row>1</xdr:row>
      <xdr:rowOff>59530</xdr:rowOff>
    </xdr:from>
    <xdr:to>
      <xdr:col>21</xdr:col>
      <xdr:colOff>95249</xdr:colOff>
      <xdr:row>1</xdr:row>
      <xdr:rowOff>452437</xdr:rowOff>
    </xdr:to>
    <xdr:sp macro="[0]!SickDay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68E7E681-1721-4464-B989-3DE23987A9B1}"/>
            </a:ext>
          </a:extLst>
        </xdr:cNvPr>
        <xdr:cNvSpPr/>
      </xdr:nvSpPr>
      <xdr:spPr>
        <a:xfrm>
          <a:off x="8215311" y="833436"/>
          <a:ext cx="773907" cy="392907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SD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11906</xdr:colOff>
      <xdr:row>1</xdr:row>
      <xdr:rowOff>523876</xdr:rowOff>
    </xdr:from>
    <xdr:to>
      <xdr:col>23</xdr:col>
      <xdr:colOff>107156</xdr:colOff>
      <xdr:row>1</xdr:row>
      <xdr:rowOff>928688</xdr:rowOff>
    </xdr:to>
    <xdr:sp macro="[0]!AlterarFuncionar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B7DF297F-016C-4EC8-8DD5-F6650061AEC4}"/>
            </a:ext>
          </a:extLst>
        </xdr:cNvPr>
        <xdr:cNvSpPr/>
      </xdr:nvSpPr>
      <xdr:spPr>
        <a:xfrm>
          <a:off x="8489156" y="1297782"/>
          <a:ext cx="1345406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Alterar Funcionário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33</xdr:col>
      <xdr:colOff>238125</xdr:colOff>
      <xdr:row>6</xdr:row>
      <xdr:rowOff>119063</xdr:rowOff>
    </xdr:from>
    <xdr:ext cx="3298031" cy="311496"/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C826B45E-205D-44AC-9297-7DE1EACFBD75}"/>
            </a:ext>
          </a:extLst>
        </xdr:cNvPr>
        <xdr:cNvSpPr txBox="1"/>
      </xdr:nvSpPr>
      <xdr:spPr>
        <a:xfrm rot="10800000" flipV="1">
          <a:off x="15192375" y="2702719"/>
          <a:ext cx="3298031" cy="31149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1. Gerar</a:t>
          </a:r>
          <a:r>
            <a:rPr lang="pt-BR" sz="1400" b="1" baseline="0">
              <a:solidFill>
                <a:schemeClr val="bg1"/>
              </a:solidFill>
            </a:rPr>
            <a:t> as planilhas</a:t>
          </a:r>
          <a:endParaRPr lang="pt-BR" sz="1400" b="1">
            <a:solidFill>
              <a:schemeClr val="bg1"/>
            </a:solidFill>
          </a:endParaRPr>
        </a:p>
      </xdr:txBody>
    </xdr:sp>
    <xdr:clientData/>
  </xdr:oneCellAnchor>
  <xdr:oneCellAnchor>
    <xdr:from>
      <xdr:col>33</xdr:col>
      <xdr:colOff>238125</xdr:colOff>
      <xdr:row>8</xdr:row>
      <xdr:rowOff>95250</xdr:rowOff>
    </xdr:from>
    <xdr:ext cx="3298031" cy="311496"/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1B9ED931-E96B-4790-A8F5-9C8E036D4102}"/>
            </a:ext>
          </a:extLst>
        </xdr:cNvPr>
        <xdr:cNvSpPr txBox="1"/>
      </xdr:nvSpPr>
      <xdr:spPr>
        <a:xfrm rot="10800000" flipV="1">
          <a:off x="15192375" y="3083719"/>
          <a:ext cx="3298031" cy="31149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2. Definir</a:t>
          </a:r>
          <a:r>
            <a:rPr lang="pt-BR" sz="1400" b="1" baseline="0">
              <a:solidFill>
                <a:schemeClr val="bg1"/>
              </a:solidFill>
            </a:rPr>
            <a:t> turnos</a:t>
          </a:r>
          <a:endParaRPr lang="pt-BR" sz="1400" b="1">
            <a:solidFill>
              <a:schemeClr val="bg1"/>
            </a:solidFill>
          </a:endParaRPr>
        </a:p>
      </xdr:txBody>
    </xdr:sp>
    <xdr:clientData/>
  </xdr:oneCellAnchor>
  <xdr:oneCellAnchor>
    <xdr:from>
      <xdr:col>33</xdr:col>
      <xdr:colOff>234950</xdr:colOff>
      <xdr:row>10</xdr:row>
      <xdr:rowOff>56357</xdr:rowOff>
    </xdr:from>
    <xdr:ext cx="3298031" cy="311496"/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78A3E28B-F50E-4614-8A44-3B47CFE2741B}"/>
            </a:ext>
          </a:extLst>
        </xdr:cNvPr>
        <xdr:cNvSpPr txBox="1"/>
      </xdr:nvSpPr>
      <xdr:spPr>
        <a:xfrm rot="10800000" flipV="1">
          <a:off x="15939294" y="3104357"/>
          <a:ext cx="3298031" cy="31149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3. Definir</a:t>
          </a:r>
          <a:r>
            <a:rPr lang="pt-BR" sz="1400" b="1" baseline="0">
              <a:solidFill>
                <a:schemeClr val="bg1"/>
              </a:solidFill>
            </a:rPr>
            <a:t> folgas</a:t>
          </a:r>
          <a:endParaRPr lang="pt-BR" sz="1400" b="1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119062</xdr:colOff>
      <xdr:row>0</xdr:row>
      <xdr:rowOff>250031</xdr:rowOff>
    </xdr:from>
    <xdr:ext cx="5172605" cy="53258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9062" y="250031"/>
          <a:ext cx="5172605" cy="5325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800" b="0">
              <a:solidFill>
                <a:schemeClr val="bg1"/>
              </a:solidFill>
              <a:latin typeface="Century Gothic" panose="020B0502020202020204" pitchFamily="34" charset="0"/>
            </a:rPr>
            <a:t>Configuração</a:t>
          </a:r>
        </a:p>
      </xdr:txBody>
    </xdr:sp>
    <xdr:clientData/>
  </xdr:oneCellAnchor>
  <xdr:twoCellAnchor>
    <xdr:from>
      <xdr:col>0</xdr:col>
      <xdr:colOff>62177</xdr:colOff>
      <xdr:row>1</xdr:row>
      <xdr:rowOff>391584</xdr:rowOff>
    </xdr:from>
    <xdr:to>
      <xdr:col>2</xdr:col>
      <xdr:colOff>59531</xdr:colOff>
      <xdr:row>1</xdr:row>
      <xdr:rowOff>796396</xdr:rowOff>
    </xdr:to>
    <xdr:sp macro="[0]!Imprimi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B524A1C-EA17-40B5-A7D8-34EE0F2ED319}"/>
            </a:ext>
          </a:extLst>
        </xdr:cNvPr>
        <xdr:cNvSpPr/>
      </xdr:nvSpPr>
      <xdr:spPr>
        <a:xfrm>
          <a:off x="62177" y="1272647"/>
          <a:ext cx="1318948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Imprimir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63500</xdr:colOff>
      <xdr:row>0</xdr:row>
      <xdr:rowOff>808303</xdr:rowOff>
    </xdr:from>
    <xdr:to>
      <xdr:col>2</xdr:col>
      <xdr:colOff>50271</xdr:colOff>
      <xdr:row>1</xdr:row>
      <xdr:rowOff>332052</xdr:rowOff>
    </xdr:to>
    <xdr:sp macro="[0]!Escala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86838BD5-8721-46B9-8D20-F6A9A92A601D}"/>
            </a:ext>
          </a:extLst>
        </xdr:cNvPr>
        <xdr:cNvSpPr/>
      </xdr:nvSpPr>
      <xdr:spPr>
        <a:xfrm>
          <a:off x="63500" y="808303"/>
          <a:ext cx="1308365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Voltar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124880</xdr:colOff>
      <xdr:row>1</xdr:row>
      <xdr:rowOff>403489</xdr:rowOff>
    </xdr:from>
    <xdr:to>
      <xdr:col>5</xdr:col>
      <xdr:colOff>166685</xdr:colOff>
      <xdr:row>1</xdr:row>
      <xdr:rowOff>808301</xdr:rowOff>
    </xdr:to>
    <xdr:sp macro="[0]!Feria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CF34E93D-5DDD-45AA-B0CE-59F80FE8A5D8}"/>
            </a:ext>
          </a:extLst>
        </xdr:cNvPr>
        <xdr:cNvSpPr/>
      </xdr:nvSpPr>
      <xdr:spPr>
        <a:xfrm>
          <a:off x="1446474" y="1284552"/>
          <a:ext cx="1244336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Férias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107159</xdr:colOff>
      <xdr:row>0</xdr:row>
      <xdr:rowOff>809626</xdr:rowOff>
    </xdr:from>
    <xdr:to>
      <xdr:col>8</xdr:col>
      <xdr:colOff>119062</xdr:colOff>
      <xdr:row>1</xdr:row>
      <xdr:rowOff>333375</xdr:rowOff>
    </xdr:to>
    <xdr:sp macro="[0]!LimparEscalaConfiguração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4D17A351-71C0-4AC5-B4F7-E2BDC942CA32}"/>
            </a:ext>
          </a:extLst>
        </xdr:cNvPr>
        <xdr:cNvSpPr/>
      </xdr:nvSpPr>
      <xdr:spPr>
        <a:xfrm>
          <a:off x="2631284" y="809626"/>
          <a:ext cx="1416841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Limpar Relação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214313</xdr:colOff>
      <xdr:row>1</xdr:row>
      <xdr:rowOff>404813</xdr:rowOff>
    </xdr:from>
    <xdr:to>
      <xdr:col>8</xdr:col>
      <xdr:colOff>142874</xdr:colOff>
      <xdr:row>1</xdr:row>
      <xdr:rowOff>809625</xdr:rowOff>
    </xdr:to>
    <xdr:sp macro="[0]!AdicionarHorarioLis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D5187D4-A069-4C4D-9B26-EBF4E7FCFADC}"/>
            </a:ext>
          </a:extLst>
        </xdr:cNvPr>
        <xdr:cNvSpPr/>
      </xdr:nvSpPr>
      <xdr:spPr>
        <a:xfrm>
          <a:off x="2738438" y="1285876"/>
          <a:ext cx="1333499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Adicionar Horário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214312</xdr:colOff>
      <xdr:row>1</xdr:row>
      <xdr:rowOff>404812</xdr:rowOff>
    </xdr:from>
    <xdr:to>
      <xdr:col>10</xdr:col>
      <xdr:colOff>702467</xdr:colOff>
      <xdr:row>1</xdr:row>
      <xdr:rowOff>809624</xdr:rowOff>
    </xdr:to>
    <xdr:sp macro="[0]!RemoverHorarioLis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938E09BB-B196-4E47-B895-96161DCFC21A}"/>
            </a:ext>
          </a:extLst>
        </xdr:cNvPr>
        <xdr:cNvSpPr/>
      </xdr:nvSpPr>
      <xdr:spPr>
        <a:xfrm>
          <a:off x="4143375" y="1285875"/>
          <a:ext cx="1297780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Remover Horário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22</xdr:col>
      <xdr:colOff>261937</xdr:colOff>
      <xdr:row>3</xdr:row>
      <xdr:rowOff>178595</xdr:rowOff>
    </xdr:from>
    <xdr:ext cx="3298031" cy="1407308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61B40929-A4B3-430F-AAEE-4D23E4EF5C26}"/>
            </a:ext>
          </a:extLst>
        </xdr:cNvPr>
        <xdr:cNvSpPr txBox="1"/>
      </xdr:nvSpPr>
      <xdr:spPr>
        <a:xfrm rot="10800000" flipV="1">
          <a:off x="10763250" y="2202658"/>
          <a:ext cx="3298031" cy="1407308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Aqui ficam informações pertinentes para o funcionamento da escala,</a:t>
          </a:r>
          <a:r>
            <a:rPr lang="pt-BR" sz="1400" b="1" baseline="0">
              <a:solidFill>
                <a:schemeClr val="bg1"/>
              </a:solidFill>
            </a:rPr>
            <a:t> favor não alterar ou deletar. A única tabela que pode ser alterada é "Relação Férias", isso pode ser realizado pelo controlador "Limpar Relação".</a:t>
          </a:r>
          <a:endParaRPr lang="pt-BR" sz="1400" b="1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130969</xdr:colOff>
      <xdr:row>0</xdr:row>
      <xdr:rowOff>809626</xdr:rowOff>
    </xdr:from>
    <xdr:to>
      <xdr:col>5</xdr:col>
      <xdr:colOff>38100</xdr:colOff>
      <xdr:row>1</xdr:row>
      <xdr:rowOff>333375</xdr:rowOff>
    </xdr:to>
    <xdr:sp macro="[0]!SickDay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58E73CC-BF77-4B83-9272-58EE972CAAE8}"/>
            </a:ext>
          </a:extLst>
        </xdr:cNvPr>
        <xdr:cNvSpPr/>
      </xdr:nvSpPr>
      <xdr:spPr>
        <a:xfrm>
          <a:off x="1452563" y="809626"/>
          <a:ext cx="1109662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SD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 editAs="oneCell">
    <xdr:from>
      <xdr:col>26</xdr:col>
      <xdr:colOff>65803</xdr:colOff>
      <xdr:row>0</xdr:row>
      <xdr:rowOff>416719</xdr:rowOff>
    </xdr:from>
    <xdr:to>
      <xdr:col>27</xdr:col>
      <xdr:colOff>260001</xdr:colOff>
      <xdr:row>1</xdr:row>
      <xdr:rowOff>362540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5CB841FF-FCEE-489C-2455-7EE5C2AA6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674522" y="416719"/>
          <a:ext cx="2578623" cy="8192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119062</xdr:colOff>
      <xdr:row>0</xdr:row>
      <xdr:rowOff>154781</xdr:rowOff>
    </xdr:from>
    <xdr:ext cx="3690937" cy="53258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9062" y="154781"/>
          <a:ext cx="3690937" cy="5325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800" b="0">
              <a:solidFill>
                <a:schemeClr val="bg1"/>
              </a:solidFill>
              <a:latin typeface="Century Gothic" panose="020B0502020202020204" pitchFamily="34" charset="0"/>
            </a:rPr>
            <a:t>Dashboard</a:t>
          </a:r>
        </a:p>
      </xdr:txBody>
    </xdr:sp>
    <xdr:clientData/>
  </xdr:oneCellAnchor>
  <xdr:twoCellAnchor editAs="oneCell">
    <xdr:from>
      <xdr:col>36</xdr:col>
      <xdr:colOff>663377</xdr:colOff>
      <xdr:row>0</xdr:row>
      <xdr:rowOff>323798</xdr:rowOff>
    </xdr:from>
    <xdr:to>
      <xdr:col>41</xdr:col>
      <xdr:colOff>20083</xdr:colOff>
      <xdr:row>1</xdr:row>
      <xdr:rowOff>523505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284377" y="323798"/>
          <a:ext cx="2041122" cy="6687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</xdr:col>
      <xdr:colOff>673893</xdr:colOff>
      <xdr:row>1</xdr:row>
      <xdr:rowOff>285750</xdr:rowOff>
    </xdr:from>
    <xdr:to>
      <xdr:col>5</xdr:col>
      <xdr:colOff>83343</xdr:colOff>
      <xdr:row>1</xdr:row>
      <xdr:rowOff>702469</xdr:rowOff>
    </xdr:to>
    <xdr:sp macro="[0]!Imprimir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15E24C4-FF5D-4A6D-9148-9D32E231F572}"/>
            </a:ext>
          </a:extLst>
        </xdr:cNvPr>
        <xdr:cNvSpPr/>
      </xdr:nvSpPr>
      <xdr:spPr>
        <a:xfrm>
          <a:off x="1281112" y="726281"/>
          <a:ext cx="1290637" cy="416719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Imprimir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71438</xdr:colOff>
      <xdr:row>1</xdr:row>
      <xdr:rowOff>285749</xdr:rowOff>
    </xdr:from>
    <xdr:to>
      <xdr:col>1</xdr:col>
      <xdr:colOff>595312</xdr:colOff>
      <xdr:row>1</xdr:row>
      <xdr:rowOff>702466</xdr:rowOff>
    </xdr:to>
    <xdr:sp macro="[0]!Escala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DBD2BBC-FF69-4045-9D45-603238518080}"/>
            </a:ext>
          </a:extLst>
        </xdr:cNvPr>
        <xdr:cNvSpPr/>
      </xdr:nvSpPr>
      <xdr:spPr>
        <a:xfrm>
          <a:off x="71438" y="726280"/>
          <a:ext cx="1131093" cy="416717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Voltar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154782</xdr:colOff>
      <xdr:row>1</xdr:row>
      <xdr:rowOff>281940</xdr:rowOff>
    </xdr:from>
    <xdr:to>
      <xdr:col>9</xdr:col>
      <xdr:colOff>54429</xdr:colOff>
      <xdr:row>1</xdr:row>
      <xdr:rowOff>706279</xdr:rowOff>
    </xdr:to>
    <xdr:sp macro="[0]!GerarRelatori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9565330-5B30-4798-8A2E-286EFFC29DDB}"/>
            </a:ext>
          </a:extLst>
        </xdr:cNvPr>
        <xdr:cNvSpPr/>
      </xdr:nvSpPr>
      <xdr:spPr>
        <a:xfrm>
          <a:off x="2985068" y="744583"/>
          <a:ext cx="1369218" cy="424339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Gerar Relatório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484140</xdr:colOff>
      <xdr:row>26</xdr:row>
      <xdr:rowOff>3808</xdr:rowOff>
    </xdr:from>
    <xdr:to>
      <xdr:col>31</xdr:col>
      <xdr:colOff>402227</xdr:colOff>
      <xdr:row>46</xdr:row>
      <xdr:rowOff>108857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4AC908F7-9A35-491B-B56E-969B122CC0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213870</xdr:colOff>
      <xdr:row>4</xdr:row>
      <xdr:rowOff>171449</xdr:rowOff>
    </xdr:from>
    <xdr:to>
      <xdr:col>2</xdr:col>
      <xdr:colOff>556771</xdr:colOff>
      <xdr:row>7</xdr:row>
      <xdr:rowOff>47624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59D21FB-6A16-9626-742F-4649DA2F6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870" y="1104899"/>
          <a:ext cx="156210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211016</xdr:colOff>
      <xdr:row>7</xdr:row>
      <xdr:rowOff>152400</xdr:rowOff>
    </xdr:from>
    <xdr:to>
      <xdr:col>2</xdr:col>
      <xdr:colOff>533401</xdr:colOff>
      <xdr:row>10</xdr:row>
      <xdr:rowOff>19050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D7C9AAA-DB44-A633-686E-5B8FBF3C2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16" y="1676400"/>
          <a:ext cx="1541585" cy="4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207131</xdr:colOff>
      <xdr:row>10</xdr:row>
      <xdr:rowOff>152399</xdr:rowOff>
    </xdr:from>
    <xdr:to>
      <xdr:col>2</xdr:col>
      <xdr:colOff>552451</xdr:colOff>
      <xdr:row>12</xdr:row>
      <xdr:rowOff>190499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6E3A9C3-D830-4D48-C889-B87834B95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131" y="2266949"/>
          <a:ext cx="1564520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232637</xdr:colOff>
      <xdr:row>13</xdr:row>
      <xdr:rowOff>180974</xdr:rowOff>
    </xdr:from>
    <xdr:to>
      <xdr:col>2</xdr:col>
      <xdr:colOff>533400</xdr:colOff>
      <xdr:row>16</xdr:row>
      <xdr:rowOff>19049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A5BC0B29-8E4B-FEAD-CDF2-ADCA2DED3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2637" y="2895599"/>
          <a:ext cx="1519963" cy="428625"/>
        </a:xfrm>
        <a:prstGeom prst="rect">
          <a:avLst/>
        </a:prstGeom>
      </xdr:spPr>
    </xdr:pic>
    <xdr:clientData/>
  </xdr:twoCellAnchor>
  <xdr:twoCellAnchor editAs="oneCell">
    <xdr:from>
      <xdr:col>5</xdr:col>
      <xdr:colOff>247650</xdr:colOff>
      <xdr:row>4</xdr:row>
      <xdr:rowOff>161925</xdr:rowOff>
    </xdr:from>
    <xdr:to>
      <xdr:col>7</xdr:col>
      <xdr:colOff>512561</xdr:colOff>
      <xdr:row>7</xdr:row>
      <xdr:rowOff>27854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AD36A123-C9EC-BA01-F46F-E4CE68D5A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0" y="1095375"/>
          <a:ext cx="1484111" cy="456479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7</xdr:row>
      <xdr:rowOff>171450</xdr:rowOff>
    </xdr:from>
    <xdr:to>
      <xdr:col>7</xdr:col>
      <xdr:colOff>514350</xdr:colOff>
      <xdr:row>10</xdr:row>
      <xdr:rowOff>31615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A6D7AB60-3DB6-3995-01A1-7F81584DF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38825" y="1695450"/>
          <a:ext cx="1457325" cy="450715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10</xdr:row>
      <xdr:rowOff>161925</xdr:rowOff>
    </xdr:from>
    <xdr:to>
      <xdr:col>7</xdr:col>
      <xdr:colOff>523876</xdr:colOff>
      <xdr:row>13</xdr:row>
      <xdr:rowOff>24077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0B77E08-CF97-E9BF-A48D-509575376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38825" y="2276475"/>
          <a:ext cx="1466851" cy="462227"/>
        </a:xfrm>
        <a:prstGeom prst="rect">
          <a:avLst/>
        </a:prstGeom>
      </xdr:spPr>
    </xdr:pic>
    <xdr:clientData/>
  </xdr:twoCellAnchor>
  <xdr:twoCellAnchor>
    <xdr:from>
      <xdr:col>7</xdr:col>
      <xdr:colOff>561975</xdr:colOff>
      <xdr:row>11</xdr:row>
      <xdr:rowOff>38100</xdr:rowOff>
    </xdr:from>
    <xdr:to>
      <xdr:col>7</xdr:col>
      <xdr:colOff>666751</xdr:colOff>
      <xdr:row>14</xdr:row>
      <xdr:rowOff>152400</xdr:rowOff>
    </xdr:to>
    <xdr:sp macro="" textlink="">
      <xdr:nvSpPr>
        <xdr:cNvPr id="13" name="Chave Direita 12">
          <a:extLst>
            <a:ext uri="{FF2B5EF4-FFF2-40B4-BE49-F238E27FC236}">
              <a16:creationId xmlns:a16="http://schemas.microsoft.com/office/drawing/2014/main" id="{B94C554E-E21E-CA9C-4E63-6E5EF9F7BEA6}"/>
            </a:ext>
          </a:extLst>
        </xdr:cNvPr>
        <xdr:cNvSpPr/>
      </xdr:nvSpPr>
      <xdr:spPr>
        <a:xfrm>
          <a:off x="7343775" y="1800225"/>
          <a:ext cx="104776" cy="714375"/>
        </a:xfrm>
        <a:prstGeom prst="rightBrace">
          <a:avLst>
            <a:gd name="adj1" fmla="val 8333"/>
            <a:gd name="adj2" fmla="val 4878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228600</xdr:colOff>
      <xdr:row>16</xdr:row>
      <xdr:rowOff>180975</xdr:rowOff>
    </xdr:from>
    <xdr:to>
      <xdr:col>2</xdr:col>
      <xdr:colOff>542925</xdr:colOff>
      <xdr:row>19</xdr:row>
      <xdr:rowOff>6401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C367690F-C9FB-E304-43B3-AC4899580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3486150"/>
          <a:ext cx="1533525" cy="415976"/>
        </a:xfrm>
        <a:prstGeom prst="rect">
          <a:avLst/>
        </a:prstGeom>
      </xdr:spPr>
    </xdr:pic>
    <xdr:clientData/>
  </xdr:twoCellAnchor>
  <xdr:twoCellAnchor editAs="oneCell">
    <xdr:from>
      <xdr:col>5</xdr:col>
      <xdr:colOff>266700</xdr:colOff>
      <xdr:row>16</xdr:row>
      <xdr:rowOff>171451</xdr:rowOff>
    </xdr:from>
    <xdr:to>
      <xdr:col>7</xdr:col>
      <xdr:colOff>552449</xdr:colOff>
      <xdr:row>19</xdr:row>
      <xdr:rowOff>27707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CDABEBC7-7626-2263-66FB-67F148D6F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29300" y="3476626"/>
          <a:ext cx="1504949" cy="446806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285751</xdr:colOff>
      <xdr:row>19</xdr:row>
      <xdr:rowOff>180975</xdr:rowOff>
    </xdr:from>
    <xdr:to>
      <xdr:col>7</xdr:col>
      <xdr:colOff>552451</xdr:colOff>
      <xdr:row>22</xdr:row>
      <xdr:rowOff>25003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CDECC92C-A5BF-4D8D-EB62-FA7744217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848351" y="4076700"/>
          <a:ext cx="1485900" cy="434578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2</xdr:row>
      <xdr:rowOff>19050</xdr:rowOff>
    </xdr:from>
    <xdr:to>
      <xdr:col>1</xdr:col>
      <xdr:colOff>495300</xdr:colOff>
      <xdr:row>2</xdr:row>
      <xdr:rowOff>409575</xdr:rowOff>
    </xdr:to>
    <xdr:sp macro="[0]!Escal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4CEFCBC0-01EE-42AD-BF2E-281435D9CB26}"/>
            </a:ext>
          </a:extLst>
        </xdr:cNvPr>
        <xdr:cNvSpPr/>
      </xdr:nvSpPr>
      <xdr:spPr>
        <a:xfrm>
          <a:off x="47625" y="323850"/>
          <a:ext cx="1057275" cy="390525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Voltar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 editAs="oneCell">
    <xdr:from>
      <xdr:col>8</xdr:col>
      <xdr:colOff>3743325</xdr:colOff>
      <xdr:row>1</xdr:row>
      <xdr:rowOff>66676</xdr:rowOff>
    </xdr:from>
    <xdr:to>
      <xdr:col>9</xdr:col>
      <xdr:colOff>31827</xdr:colOff>
      <xdr:row>3</xdr:row>
      <xdr:rowOff>28576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B21E978-027B-4B71-8639-17C9EC005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9975" y="257176"/>
          <a:ext cx="1984452" cy="5143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219075</xdr:colOff>
      <xdr:row>22</xdr:row>
      <xdr:rowOff>180974</xdr:rowOff>
    </xdr:from>
    <xdr:to>
      <xdr:col>2</xdr:col>
      <xdr:colOff>561975</xdr:colOff>
      <xdr:row>25</xdr:row>
      <xdr:rowOff>21835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FD6FE1B-071F-B6CC-4D1C-227A80B2E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75" y="4667249"/>
          <a:ext cx="1562100" cy="431411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19</xdr:row>
      <xdr:rowOff>161926</xdr:rowOff>
    </xdr:from>
    <xdr:to>
      <xdr:col>2</xdr:col>
      <xdr:colOff>514351</xdr:colOff>
      <xdr:row>21</xdr:row>
      <xdr:rowOff>187188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5C832D9-A470-05D5-276F-1A7C0F5F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8601" y="4057651"/>
          <a:ext cx="1504950" cy="425312"/>
        </a:xfrm>
        <a:prstGeom prst="rect">
          <a:avLst/>
        </a:prstGeom>
      </xdr:spPr>
    </xdr:pic>
    <xdr:clientData/>
  </xdr:twoCellAnchor>
  <xdr:twoCellAnchor editAs="oneCell">
    <xdr:from>
      <xdr:col>5</xdr:col>
      <xdr:colOff>266699</xdr:colOff>
      <xdr:row>23</xdr:row>
      <xdr:rowOff>19050</xdr:rowOff>
    </xdr:from>
    <xdr:to>
      <xdr:col>7</xdr:col>
      <xdr:colOff>561974</xdr:colOff>
      <xdr:row>25</xdr:row>
      <xdr:rowOff>53760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6C834974-981B-DD59-FA0C-9030256F1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829299" y="4705350"/>
          <a:ext cx="1514475" cy="425235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285751</xdr:colOff>
      <xdr:row>13</xdr:row>
      <xdr:rowOff>142875</xdr:rowOff>
    </xdr:from>
    <xdr:to>
      <xdr:col>7</xdr:col>
      <xdr:colOff>552451</xdr:colOff>
      <xdr:row>16</xdr:row>
      <xdr:rowOff>27854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B2E700C8-F768-F0A7-035B-978F4E390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734051" y="2857500"/>
          <a:ext cx="1428750" cy="475529"/>
        </a:xfrm>
        <a:prstGeom prst="rect">
          <a:avLst/>
        </a:prstGeom>
      </xdr:spPr>
    </xdr:pic>
    <xdr:clientData/>
  </xdr:twoCellAnchor>
  <xdr:twoCellAnchor editAs="oneCell">
    <xdr:from>
      <xdr:col>0</xdr:col>
      <xdr:colOff>228599</xdr:colOff>
      <xdr:row>25</xdr:row>
      <xdr:rowOff>161925</xdr:rowOff>
    </xdr:from>
    <xdr:to>
      <xdr:col>2</xdr:col>
      <xdr:colOff>561974</xdr:colOff>
      <xdr:row>28</xdr:row>
      <xdr:rowOff>46904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EB7C274-DD76-CB2D-0A40-79D3D7E9F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8599" y="5238750"/>
          <a:ext cx="1495425" cy="475529"/>
        </a:xfrm>
        <a:prstGeom prst="rect">
          <a:avLst/>
        </a:prstGeom>
      </xdr:spPr>
    </xdr:pic>
    <xdr:clientData/>
  </xdr:twoCellAnchor>
  <xdr:twoCellAnchor editAs="oneCell">
    <xdr:from>
      <xdr:col>5</xdr:col>
      <xdr:colOff>266700</xdr:colOff>
      <xdr:row>25</xdr:row>
      <xdr:rowOff>161925</xdr:rowOff>
    </xdr:from>
    <xdr:to>
      <xdr:col>7</xdr:col>
      <xdr:colOff>581025</xdr:colOff>
      <xdr:row>28</xdr:row>
      <xdr:rowOff>34711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A7C9ACE0-D8F7-C575-D9B8-62451874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91425" y="5238750"/>
          <a:ext cx="1476375" cy="463336"/>
        </a:xfrm>
        <a:prstGeom prst="rect">
          <a:avLst/>
        </a:prstGeom>
      </xdr:spPr>
    </xdr:pic>
    <xdr:clientData/>
  </xdr:twoCellAnchor>
  <xdr:twoCellAnchor editAs="oneCell">
    <xdr:from>
      <xdr:col>0</xdr:col>
      <xdr:colOff>247650</xdr:colOff>
      <xdr:row>28</xdr:row>
      <xdr:rowOff>161925</xdr:rowOff>
    </xdr:from>
    <xdr:to>
      <xdr:col>3</xdr:col>
      <xdr:colOff>0</xdr:colOff>
      <xdr:row>31</xdr:row>
      <xdr:rowOff>46904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388439EB-CFDC-E35B-1EF9-4237E0D47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7650" y="5829300"/>
          <a:ext cx="1495425" cy="47552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80967</xdr:colOff>
      <xdr:row>0</xdr:row>
      <xdr:rowOff>217488</xdr:rowOff>
    </xdr:from>
    <xdr:to>
      <xdr:col>30</xdr:col>
      <xdr:colOff>333615</xdr:colOff>
      <xdr:row>1</xdr:row>
      <xdr:rowOff>619021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E2854FB-804F-447D-B2F1-001F3DE43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49092" y="217488"/>
          <a:ext cx="2579923" cy="79205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92868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92086BAD-92C8-4461-A790-2079E0E31AA4}"/>
            </a:ext>
          </a:extLst>
        </xdr:cNvPr>
        <xdr:cNvSpPr txBox="1"/>
      </xdr:nvSpPr>
      <xdr:spPr>
        <a:xfrm>
          <a:off x="0" y="92868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80967</xdr:colOff>
      <xdr:row>0</xdr:row>
      <xdr:rowOff>217488</xdr:rowOff>
    </xdr:from>
    <xdr:to>
      <xdr:col>30</xdr:col>
      <xdr:colOff>333614</xdr:colOff>
      <xdr:row>1</xdr:row>
      <xdr:rowOff>619021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5504D13-5445-490B-B379-4A7ECED11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49092" y="217488"/>
          <a:ext cx="2579922" cy="79205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92868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C26EDEED-0793-4881-B651-75C633193C0A}"/>
            </a:ext>
          </a:extLst>
        </xdr:cNvPr>
        <xdr:cNvSpPr txBox="1"/>
      </xdr:nvSpPr>
      <xdr:spPr>
        <a:xfrm>
          <a:off x="0" y="92868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80967</xdr:colOff>
      <xdr:row>0</xdr:row>
      <xdr:rowOff>217488</xdr:rowOff>
    </xdr:from>
    <xdr:to>
      <xdr:col>30</xdr:col>
      <xdr:colOff>330439</xdr:colOff>
      <xdr:row>1</xdr:row>
      <xdr:rowOff>622196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13F2D57-1CB3-4889-A111-3A9D5B68E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49092" y="217488"/>
          <a:ext cx="2579922" cy="79205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92868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55EC9E46-B4F6-4739-9D5A-41BBE9A4903D}"/>
            </a:ext>
          </a:extLst>
        </xdr:cNvPr>
        <xdr:cNvSpPr txBox="1"/>
      </xdr:nvSpPr>
      <xdr:spPr>
        <a:xfrm>
          <a:off x="0" y="92868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80967</xdr:colOff>
      <xdr:row>0</xdr:row>
      <xdr:rowOff>217488</xdr:rowOff>
    </xdr:from>
    <xdr:to>
      <xdr:col>30</xdr:col>
      <xdr:colOff>314563</xdr:colOff>
      <xdr:row>1</xdr:row>
      <xdr:rowOff>619021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B26B88A-3C7C-4372-BC16-2A7C1C52D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49092" y="217488"/>
          <a:ext cx="2567221" cy="79205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92868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59F4E047-C010-4B86-97E8-85F4A35C7FEF}"/>
            </a:ext>
          </a:extLst>
        </xdr:cNvPr>
        <xdr:cNvSpPr txBox="1"/>
      </xdr:nvSpPr>
      <xdr:spPr>
        <a:xfrm>
          <a:off x="0" y="92868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109542</xdr:colOff>
      <xdr:row>0</xdr:row>
      <xdr:rowOff>217488</xdr:rowOff>
    </xdr:from>
    <xdr:to>
      <xdr:col>30</xdr:col>
      <xdr:colOff>345520</xdr:colOff>
      <xdr:row>1</xdr:row>
      <xdr:rowOff>622196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0079BE0-31AE-4979-89CE-9E20F93E9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77667" y="217488"/>
          <a:ext cx="2569603" cy="79205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92868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9C6FF3DE-85EF-4CA8-B2BF-DE32B804EE49}"/>
            </a:ext>
          </a:extLst>
        </xdr:cNvPr>
        <xdr:cNvSpPr txBox="1"/>
      </xdr:nvSpPr>
      <xdr:spPr>
        <a:xfrm>
          <a:off x="0" y="92868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80967</xdr:colOff>
      <xdr:row>0</xdr:row>
      <xdr:rowOff>217488</xdr:rowOff>
    </xdr:from>
    <xdr:to>
      <xdr:col>30</xdr:col>
      <xdr:colOff>330438</xdr:colOff>
      <xdr:row>1</xdr:row>
      <xdr:rowOff>622196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D845C59-5A5B-454F-AACF-0599E0EC6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49092" y="217488"/>
          <a:ext cx="2579921" cy="79205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92868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347A86C1-98A7-47CF-A405-395C1D190FE6}"/>
            </a:ext>
          </a:extLst>
        </xdr:cNvPr>
        <xdr:cNvSpPr txBox="1"/>
      </xdr:nvSpPr>
      <xdr:spPr>
        <a:xfrm>
          <a:off x="0" y="92868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80967</xdr:colOff>
      <xdr:row>0</xdr:row>
      <xdr:rowOff>217488</xdr:rowOff>
    </xdr:from>
    <xdr:to>
      <xdr:col>30</xdr:col>
      <xdr:colOff>330438</xdr:colOff>
      <xdr:row>1</xdr:row>
      <xdr:rowOff>622196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2BB8457-A43B-474B-9AEF-B5D6A339F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49092" y="217488"/>
          <a:ext cx="2579921" cy="79205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92868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1EB250C7-7F60-4A79-9B9C-075F33E8FC8A}"/>
            </a:ext>
          </a:extLst>
        </xdr:cNvPr>
        <xdr:cNvSpPr txBox="1"/>
      </xdr:nvSpPr>
      <xdr:spPr>
        <a:xfrm>
          <a:off x="0" y="92868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80967</xdr:colOff>
      <xdr:row>0</xdr:row>
      <xdr:rowOff>217488</xdr:rowOff>
    </xdr:from>
    <xdr:to>
      <xdr:col>30</xdr:col>
      <xdr:colOff>330438</xdr:colOff>
      <xdr:row>1</xdr:row>
      <xdr:rowOff>622196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3E806D6-B99E-462B-9010-1C4C2E116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749092" y="217488"/>
          <a:ext cx="2579921" cy="79205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92868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4E6D5244-1504-458B-A78E-510F20882639}"/>
            </a:ext>
          </a:extLst>
        </xdr:cNvPr>
        <xdr:cNvSpPr txBox="1"/>
      </xdr:nvSpPr>
      <xdr:spPr>
        <a:xfrm>
          <a:off x="0" y="92868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138117</xdr:colOff>
      <xdr:row>0</xdr:row>
      <xdr:rowOff>217488</xdr:rowOff>
    </xdr:from>
    <xdr:to>
      <xdr:col>30</xdr:col>
      <xdr:colOff>371713</xdr:colOff>
      <xdr:row>1</xdr:row>
      <xdr:rowOff>619021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35BEF40-2326-4E60-9355-5D1E4B5BA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806242" y="217488"/>
          <a:ext cx="2560871" cy="79205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92868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117AF183-9582-4678-9432-AE176DEED0F8}"/>
            </a:ext>
          </a:extLst>
        </xdr:cNvPr>
        <xdr:cNvSpPr txBox="1"/>
      </xdr:nvSpPr>
      <xdr:spPr>
        <a:xfrm>
          <a:off x="0" y="92868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147642</xdr:colOff>
      <xdr:row>0</xdr:row>
      <xdr:rowOff>217488</xdr:rowOff>
    </xdr:from>
    <xdr:to>
      <xdr:col>30</xdr:col>
      <xdr:colOff>408227</xdr:colOff>
      <xdr:row>1</xdr:row>
      <xdr:rowOff>622196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FD8350C-F6D4-47CB-ADA4-AD90EC302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815767" y="217488"/>
          <a:ext cx="2591035" cy="79205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92868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67D36BFA-C011-4735-812F-15EEB77F6726}"/>
            </a:ext>
          </a:extLst>
        </xdr:cNvPr>
        <xdr:cNvSpPr txBox="1"/>
      </xdr:nvSpPr>
      <xdr:spPr>
        <a:xfrm>
          <a:off x="0" y="92868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147642</xdr:colOff>
      <xdr:row>0</xdr:row>
      <xdr:rowOff>217488</xdr:rowOff>
    </xdr:from>
    <xdr:to>
      <xdr:col>30</xdr:col>
      <xdr:colOff>408227</xdr:colOff>
      <xdr:row>1</xdr:row>
      <xdr:rowOff>622196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9FC3B54-9B97-4BAF-B774-AD55E626E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815767" y="217488"/>
          <a:ext cx="2591035" cy="79205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92868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F9F54718-248A-4487-90F5-776513D67EAE}"/>
            </a:ext>
          </a:extLst>
        </xdr:cNvPr>
        <xdr:cNvSpPr txBox="1"/>
      </xdr:nvSpPr>
      <xdr:spPr>
        <a:xfrm>
          <a:off x="0" y="92868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147642</xdr:colOff>
      <xdr:row>0</xdr:row>
      <xdr:rowOff>217488</xdr:rowOff>
    </xdr:from>
    <xdr:to>
      <xdr:col>30</xdr:col>
      <xdr:colOff>408226</xdr:colOff>
      <xdr:row>1</xdr:row>
      <xdr:rowOff>622196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DCC5FC9-2555-4BBE-AA4F-FB1CD8682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815767" y="217488"/>
          <a:ext cx="2591034" cy="79205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92868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7F7F89D3-7A89-4D7A-AAAD-CDA905B1524B}"/>
            </a:ext>
          </a:extLst>
        </xdr:cNvPr>
        <xdr:cNvSpPr txBox="1"/>
      </xdr:nvSpPr>
      <xdr:spPr>
        <a:xfrm>
          <a:off x="0" y="92868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CACEE-93F4-4EAA-8059-CC6261CA8E10}">
  <sheetPr codeName="Planilha5">
    <tabColor theme="4" tint="-0.249977111117893"/>
  </sheetPr>
  <dimension ref="A1:AG42"/>
  <sheetViews>
    <sheetView zoomScale="80" zoomScaleNormal="80" workbookViewId="0">
      <selection activeCell="I34" sqref="I34"/>
    </sheetView>
  </sheetViews>
  <sheetFormatPr defaultRowHeight="14.4" x14ac:dyDescent="0.3"/>
  <cols>
    <col min="1" max="1" width="12.6640625" bestFit="1" customWidth="1"/>
    <col min="2" max="32" width="6.5546875" customWidth="1"/>
    <col min="33" max="33" width="6.109375" bestFit="1" customWidth="1"/>
  </cols>
  <sheetData>
    <row r="1" spans="1:33" ht="60.75" customHeight="1" x14ac:dyDescent="0.3">
      <c r="A1" s="12"/>
      <c r="B1" s="12"/>
      <c r="C1" s="12"/>
      <c r="D1" s="12"/>
      <c r="E1" s="13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"/>
    </row>
    <row r="2" spans="1:33" ht="79.5" customHeight="1" x14ac:dyDescent="0.3">
      <c r="A2" s="14"/>
      <c r="B2" s="14"/>
      <c r="C2" s="14"/>
      <c r="D2" s="14"/>
      <c r="E2" s="1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"/>
    </row>
    <row r="3" spans="1:33" ht="15" hidden="1" thickBot="1" x14ac:dyDescent="0.35">
      <c r="A3" s="8" t="s">
        <v>13</v>
      </c>
      <c r="B3" s="9" t="str">
        <f>IF(MONTH(D5)=5,"FE",IF(MONTH(D5)=1,"FE",""))</f>
        <v>FE</v>
      </c>
      <c r="C3" s="10" t="str">
        <f>IF(MONTH(D5)=11,"FE","")</f>
        <v/>
      </c>
      <c r="D3" s="10"/>
      <c r="E3" s="10" t="str">
        <f>IF(MONTH(D5)=3,"FE","")</f>
        <v/>
      </c>
      <c r="F3" s="10"/>
      <c r="G3" s="10"/>
      <c r="H3" s="10" t="str">
        <f>IF(MONTH(D5)=9,"FE","")</f>
        <v/>
      </c>
      <c r="I3" s="10"/>
      <c r="J3" s="10"/>
      <c r="K3" s="10"/>
      <c r="L3" s="10"/>
      <c r="M3" s="10" t="str">
        <f>IF(MONTH(D5)=10,"FE","")</f>
        <v/>
      </c>
      <c r="N3" s="10"/>
      <c r="O3" s="10"/>
      <c r="P3" s="10" t="str">
        <f>IF(MONTH(D5)=11,"FE","")</f>
        <v/>
      </c>
      <c r="Q3" s="10"/>
      <c r="R3" s="10"/>
      <c r="S3" s="10"/>
      <c r="T3" s="10"/>
      <c r="U3" s="10" t="str">
        <f>IF(MONTH(D5)=11,"FE","")</f>
        <v/>
      </c>
      <c r="V3" s="10" t="str">
        <f>IF(MONTH(D5)=4,"FE","")</f>
        <v/>
      </c>
      <c r="W3" s="10"/>
      <c r="X3" s="10"/>
      <c r="Y3" s="10"/>
      <c r="Z3" s="10" t="str">
        <f>IF(MONTH(D5)=12,"FE",IF(MONTH(D5)=1,"FE",""))</f>
        <v>FE</v>
      </c>
      <c r="AA3" s="10"/>
      <c r="AB3" s="10"/>
      <c r="AC3" s="10"/>
      <c r="AD3" s="10"/>
      <c r="AE3" s="10" t="str">
        <f>IF(MONTH(D5)=5,"FE","")</f>
        <v/>
      </c>
      <c r="AF3" s="11"/>
      <c r="AG3" s="1"/>
    </row>
    <row r="4" spans="1:33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3">
      <c r="A5" s="1"/>
      <c r="B5" s="72" t="s">
        <v>14</v>
      </c>
      <c r="C5" s="72"/>
      <c r="D5" s="73">
        <v>46023</v>
      </c>
      <c r="E5" s="73"/>
      <c r="F5" s="73"/>
      <c r="G5" s="73"/>
      <c r="H5" s="81" t="s">
        <v>68</v>
      </c>
      <c r="I5" s="82"/>
      <c r="J5" s="17" t="s">
        <v>67</v>
      </c>
      <c r="K5" s="1"/>
      <c r="L5" s="1"/>
      <c r="M5" s="76" t="s">
        <v>3</v>
      </c>
      <c r="N5" s="77" t="s">
        <v>17</v>
      </c>
      <c r="O5" s="77"/>
      <c r="P5" s="75" t="s">
        <v>83</v>
      </c>
      <c r="Q5" s="75"/>
      <c r="R5" s="75"/>
      <c r="S5" s="75" t="s">
        <v>2</v>
      </c>
      <c r="T5" s="75"/>
      <c r="U5" s="75"/>
      <c r="V5" s="75" t="s">
        <v>4</v>
      </c>
      <c r="W5" s="75"/>
      <c r="X5" s="75"/>
      <c r="Y5" s="1"/>
      <c r="Z5" s="80" t="s">
        <v>18</v>
      </c>
      <c r="AA5" s="80"/>
      <c r="AB5" s="80"/>
      <c r="AC5" s="80"/>
      <c r="AD5" s="80"/>
      <c r="AE5" s="1"/>
      <c r="AF5" s="1"/>
      <c r="AG5" s="1"/>
    </row>
    <row r="6" spans="1:33" x14ac:dyDescent="0.3">
      <c r="A6" s="1"/>
      <c r="B6" s="72" t="s">
        <v>19</v>
      </c>
      <c r="C6" s="72"/>
      <c r="D6" s="74">
        <f>EOMONTH(D5,0)</f>
        <v>46053</v>
      </c>
      <c r="E6" s="74"/>
      <c r="F6" s="74"/>
      <c r="G6" s="74"/>
      <c r="H6" s="81" t="s">
        <v>82</v>
      </c>
      <c r="I6" s="82"/>
      <c r="J6" s="18" t="s">
        <v>81</v>
      </c>
      <c r="K6" s="1"/>
      <c r="L6" s="1"/>
      <c r="M6" s="76"/>
      <c r="N6" s="77"/>
      <c r="O6" s="77"/>
      <c r="P6" s="75" t="s">
        <v>27</v>
      </c>
      <c r="Q6" s="75"/>
      <c r="R6" s="75"/>
      <c r="S6" s="75" t="s">
        <v>5</v>
      </c>
      <c r="T6" s="75"/>
      <c r="U6" s="75"/>
      <c r="V6" s="75" t="s">
        <v>6</v>
      </c>
      <c r="W6" s="75"/>
      <c r="X6" s="75"/>
      <c r="Y6" s="1"/>
      <c r="Z6" s="19" t="s">
        <v>22</v>
      </c>
      <c r="AA6" s="77" t="s">
        <v>23</v>
      </c>
      <c r="AB6" s="77"/>
      <c r="AC6" s="75" t="s">
        <v>83</v>
      </c>
      <c r="AD6" s="75"/>
      <c r="AE6" s="1"/>
      <c r="AF6" s="1"/>
      <c r="AG6" s="1"/>
    </row>
    <row r="7" spans="1:33" x14ac:dyDescent="0.3">
      <c r="A7" s="1"/>
      <c r="B7" s="72" t="s">
        <v>24</v>
      </c>
      <c r="C7" s="72"/>
      <c r="D7" s="75">
        <f>DAY(D6)</f>
        <v>31</v>
      </c>
      <c r="E7" s="75"/>
      <c r="F7" s="75"/>
      <c r="G7" s="75"/>
      <c r="H7" s="78" t="s">
        <v>25</v>
      </c>
      <c r="I7" s="79"/>
      <c r="J7" s="19" t="s">
        <v>26</v>
      </c>
      <c r="K7" s="1"/>
      <c r="L7" s="1"/>
      <c r="M7" s="76"/>
      <c r="N7" s="77"/>
      <c r="O7" s="77"/>
      <c r="P7" s="75"/>
      <c r="Q7" s="75"/>
      <c r="R7" s="75"/>
      <c r="S7" s="75"/>
      <c r="T7" s="75"/>
      <c r="U7" s="75"/>
      <c r="V7" s="75"/>
      <c r="W7" s="75"/>
      <c r="X7" s="75"/>
      <c r="Y7" s="1"/>
      <c r="Z7" s="19" t="s">
        <v>28</v>
      </c>
      <c r="AA7" s="77" t="s">
        <v>29</v>
      </c>
      <c r="AB7" s="77"/>
      <c r="AC7" s="75" t="s">
        <v>30</v>
      </c>
      <c r="AD7" s="75"/>
      <c r="AE7" s="1"/>
      <c r="AF7" s="1"/>
      <c r="AG7" s="1"/>
    </row>
    <row r="8" spans="1:33" x14ac:dyDescent="0.3">
      <c r="A8" s="1"/>
      <c r="B8" s="1"/>
      <c r="C8" s="1"/>
      <c r="D8" s="1"/>
      <c r="E8" s="1"/>
      <c r="F8" s="1"/>
      <c r="G8" s="1"/>
      <c r="H8" s="78" t="s">
        <v>15</v>
      </c>
      <c r="I8" s="79"/>
      <c r="J8" s="19" t="s">
        <v>16</v>
      </c>
      <c r="K8" s="1"/>
      <c r="L8" s="1"/>
      <c r="M8" s="19" t="s">
        <v>8</v>
      </c>
      <c r="N8" s="77" t="s">
        <v>29</v>
      </c>
      <c r="O8" s="77"/>
      <c r="P8" s="75" t="s">
        <v>30</v>
      </c>
      <c r="Q8" s="75"/>
      <c r="R8" s="75"/>
      <c r="S8" s="75" t="s">
        <v>9</v>
      </c>
      <c r="T8" s="75"/>
      <c r="U8" s="75"/>
      <c r="V8" s="75" t="s">
        <v>74</v>
      </c>
      <c r="W8" s="75"/>
      <c r="X8" s="75"/>
      <c r="Y8" s="1"/>
      <c r="Z8" s="19" t="s">
        <v>31</v>
      </c>
      <c r="AA8" s="77" t="s">
        <v>32</v>
      </c>
      <c r="AB8" s="77"/>
      <c r="AC8" s="75" t="s">
        <v>84</v>
      </c>
      <c r="AD8" s="75"/>
      <c r="AE8" s="1"/>
      <c r="AF8" s="1"/>
      <c r="AG8" s="1"/>
    </row>
    <row r="9" spans="1:33" x14ac:dyDescent="0.3">
      <c r="A9" s="1"/>
      <c r="B9" s="1"/>
      <c r="C9" s="1"/>
      <c r="D9" s="1"/>
      <c r="E9" s="1"/>
      <c r="F9" s="1"/>
      <c r="G9" s="1"/>
      <c r="H9" s="78" t="s">
        <v>20</v>
      </c>
      <c r="I9" s="79"/>
      <c r="J9" s="19" t="s">
        <v>21</v>
      </c>
      <c r="K9" s="1"/>
      <c r="L9" s="1"/>
      <c r="M9" s="19" t="s">
        <v>11</v>
      </c>
      <c r="N9" s="77" t="s">
        <v>33</v>
      </c>
      <c r="O9" s="77"/>
      <c r="P9" s="75" t="s">
        <v>84</v>
      </c>
      <c r="Q9" s="75"/>
      <c r="R9" s="75"/>
      <c r="S9" s="75" t="s">
        <v>10</v>
      </c>
      <c r="T9" s="75"/>
      <c r="U9" s="75"/>
      <c r="V9" s="75" t="s">
        <v>12</v>
      </c>
      <c r="W9" s="75"/>
      <c r="X9" s="75"/>
      <c r="Y9" s="1"/>
      <c r="Z9" s="1"/>
      <c r="AA9" s="1"/>
      <c r="AB9" s="1"/>
      <c r="AC9" s="1"/>
      <c r="AD9" s="1"/>
      <c r="AE9" s="1"/>
      <c r="AF9" s="1"/>
      <c r="AG9" s="1"/>
    </row>
    <row r="10" spans="1:33" x14ac:dyDescent="0.3">
      <c r="A10" s="1"/>
      <c r="B10" s="1"/>
      <c r="C10" s="1"/>
      <c r="D10" s="1"/>
      <c r="E10" s="1"/>
      <c r="F10" s="1"/>
      <c r="G10" s="1"/>
      <c r="H10" s="81" t="s">
        <v>70</v>
      </c>
      <c r="I10" s="82"/>
      <c r="J10" s="19" t="s">
        <v>69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22.8" x14ac:dyDescent="0.3">
      <c r="A14" s="69" t="s">
        <v>0</v>
      </c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1"/>
      <c r="AG14" s="1"/>
    </row>
    <row r="15" spans="1:33" x14ac:dyDescent="0.3">
      <c r="A15" s="42" t="s">
        <v>1</v>
      </c>
      <c r="B15" s="20" t="str">
        <f>UPPER(TEXT(B16,"[$]ddd"))</f>
        <v>QUI</v>
      </c>
      <c r="C15" s="20" t="str">
        <f t="shared" ref="C15:AF15" si="0">UPPER(TEXT(C16,"[$]ddd"))</f>
        <v>SEX</v>
      </c>
      <c r="D15" s="20" t="str">
        <f t="shared" si="0"/>
        <v>SÁB</v>
      </c>
      <c r="E15" s="20" t="str">
        <f t="shared" si="0"/>
        <v>DOM</v>
      </c>
      <c r="F15" s="20" t="str">
        <f t="shared" si="0"/>
        <v>SEG</v>
      </c>
      <c r="G15" s="20" t="str">
        <f t="shared" si="0"/>
        <v>TER</v>
      </c>
      <c r="H15" s="20" t="str">
        <f t="shared" si="0"/>
        <v>QUA</v>
      </c>
      <c r="I15" s="20" t="str">
        <f t="shared" si="0"/>
        <v>QUI</v>
      </c>
      <c r="J15" s="20" t="str">
        <f t="shared" si="0"/>
        <v>SEX</v>
      </c>
      <c r="K15" s="20" t="str">
        <f t="shared" si="0"/>
        <v>SÁB</v>
      </c>
      <c r="L15" s="20" t="str">
        <f t="shared" si="0"/>
        <v>DOM</v>
      </c>
      <c r="M15" s="20" t="str">
        <f t="shared" si="0"/>
        <v>SEG</v>
      </c>
      <c r="N15" s="20" t="str">
        <f t="shared" si="0"/>
        <v>TER</v>
      </c>
      <c r="O15" s="20" t="str">
        <f t="shared" si="0"/>
        <v>QUA</v>
      </c>
      <c r="P15" s="20" t="str">
        <f t="shared" si="0"/>
        <v>QUI</v>
      </c>
      <c r="Q15" s="20" t="str">
        <f t="shared" si="0"/>
        <v>SEX</v>
      </c>
      <c r="R15" s="20" t="str">
        <f t="shared" si="0"/>
        <v>SÁB</v>
      </c>
      <c r="S15" s="20" t="str">
        <f t="shared" si="0"/>
        <v>DOM</v>
      </c>
      <c r="T15" s="20" t="str">
        <f t="shared" si="0"/>
        <v>SEG</v>
      </c>
      <c r="U15" s="20" t="str">
        <f t="shared" si="0"/>
        <v>TER</v>
      </c>
      <c r="V15" s="20" t="str">
        <f t="shared" si="0"/>
        <v>QUA</v>
      </c>
      <c r="W15" s="20" t="str">
        <f t="shared" si="0"/>
        <v>QUI</v>
      </c>
      <c r="X15" s="20" t="str">
        <f t="shared" si="0"/>
        <v>SEX</v>
      </c>
      <c r="Y15" s="20" t="str">
        <f t="shared" si="0"/>
        <v>SÁB</v>
      </c>
      <c r="Z15" s="20" t="str">
        <f t="shared" si="0"/>
        <v>DOM</v>
      </c>
      <c r="AA15" s="20" t="str">
        <f t="shared" si="0"/>
        <v>SEG</v>
      </c>
      <c r="AB15" s="20" t="str">
        <f t="shared" si="0"/>
        <v>TER</v>
      </c>
      <c r="AC15" s="20" t="str">
        <f t="shared" si="0"/>
        <v>QUA</v>
      </c>
      <c r="AD15" s="20" t="str">
        <f t="shared" si="0"/>
        <v>QUI</v>
      </c>
      <c r="AE15" s="20" t="str">
        <f t="shared" si="0"/>
        <v>SEX</v>
      </c>
      <c r="AF15" s="21" t="str">
        <f t="shared" si="0"/>
        <v>SÁB</v>
      </c>
      <c r="AG15" s="1"/>
    </row>
    <row r="16" spans="1:33" x14ac:dyDescent="0.3">
      <c r="A16" s="42"/>
      <c r="B16" s="22">
        <f>D5</f>
        <v>46023</v>
      </c>
      <c r="C16" s="23">
        <f>B16+1</f>
        <v>46024</v>
      </c>
      <c r="D16" s="23">
        <f t="shared" ref="D16:AF16" si="1">C16+1</f>
        <v>46025</v>
      </c>
      <c r="E16" s="23">
        <f t="shared" si="1"/>
        <v>46026</v>
      </c>
      <c r="F16" s="23">
        <f t="shared" si="1"/>
        <v>46027</v>
      </c>
      <c r="G16" s="23">
        <f t="shared" si="1"/>
        <v>46028</v>
      </c>
      <c r="H16" s="23">
        <f t="shared" si="1"/>
        <v>46029</v>
      </c>
      <c r="I16" s="23">
        <f t="shared" si="1"/>
        <v>46030</v>
      </c>
      <c r="J16" s="23">
        <f t="shared" si="1"/>
        <v>46031</v>
      </c>
      <c r="K16" s="23">
        <f t="shared" si="1"/>
        <v>46032</v>
      </c>
      <c r="L16" s="23">
        <f t="shared" si="1"/>
        <v>46033</v>
      </c>
      <c r="M16" s="23">
        <f t="shared" si="1"/>
        <v>46034</v>
      </c>
      <c r="N16" s="23">
        <f t="shared" si="1"/>
        <v>46035</v>
      </c>
      <c r="O16" s="23">
        <f t="shared" si="1"/>
        <v>46036</v>
      </c>
      <c r="P16" s="23">
        <f t="shared" si="1"/>
        <v>46037</v>
      </c>
      <c r="Q16" s="23">
        <f t="shared" si="1"/>
        <v>46038</v>
      </c>
      <c r="R16" s="23">
        <f t="shared" si="1"/>
        <v>46039</v>
      </c>
      <c r="S16" s="23">
        <f t="shared" si="1"/>
        <v>46040</v>
      </c>
      <c r="T16" s="23">
        <f t="shared" si="1"/>
        <v>46041</v>
      </c>
      <c r="U16" s="23">
        <f t="shared" si="1"/>
        <v>46042</v>
      </c>
      <c r="V16" s="23">
        <f t="shared" si="1"/>
        <v>46043</v>
      </c>
      <c r="W16" s="23">
        <f t="shared" si="1"/>
        <v>46044</v>
      </c>
      <c r="X16" s="23">
        <f t="shared" si="1"/>
        <v>46045</v>
      </c>
      <c r="Y16" s="23">
        <f t="shared" si="1"/>
        <v>46046</v>
      </c>
      <c r="Z16" s="23">
        <f t="shared" si="1"/>
        <v>46047</v>
      </c>
      <c r="AA16" s="23">
        <f t="shared" si="1"/>
        <v>46048</v>
      </c>
      <c r="AB16" s="23">
        <f t="shared" si="1"/>
        <v>46049</v>
      </c>
      <c r="AC16" s="23">
        <f t="shared" si="1"/>
        <v>46050</v>
      </c>
      <c r="AD16" s="23">
        <f t="shared" si="1"/>
        <v>46051</v>
      </c>
      <c r="AE16" s="23">
        <f t="shared" si="1"/>
        <v>46052</v>
      </c>
      <c r="AF16" s="24">
        <f t="shared" si="1"/>
        <v>46053</v>
      </c>
      <c r="AG16" s="1"/>
    </row>
    <row r="17" spans="1:33" x14ac:dyDescent="0.3">
      <c r="A17" s="25" t="s">
        <v>7</v>
      </c>
      <c r="B17" s="19" t="s">
        <v>3</v>
      </c>
      <c r="C17" s="19" t="s">
        <v>3</v>
      </c>
      <c r="D17" s="19"/>
      <c r="E17" s="19"/>
      <c r="F17" s="19" t="s">
        <v>3</v>
      </c>
      <c r="G17" s="19" t="s">
        <v>3</v>
      </c>
      <c r="H17" s="19" t="s">
        <v>3</v>
      </c>
      <c r="I17" s="19" t="s">
        <v>3</v>
      </c>
      <c r="J17" s="19" t="s">
        <v>3</v>
      </c>
      <c r="K17" s="19"/>
      <c r="L17" s="19"/>
      <c r="M17" s="19" t="s">
        <v>3</v>
      </c>
      <c r="N17" s="19" t="s">
        <v>3</v>
      </c>
      <c r="O17" s="19" t="s">
        <v>3</v>
      </c>
      <c r="P17" s="19" t="s">
        <v>3</v>
      </c>
      <c r="Q17" s="19" t="s">
        <v>3</v>
      </c>
      <c r="R17" s="19"/>
      <c r="S17" s="19"/>
      <c r="T17" s="19" t="s">
        <v>3</v>
      </c>
      <c r="U17" s="19" t="s">
        <v>3</v>
      </c>
      <c r="V17" s="19" t="s">
        <v>3</v>
      </c>
      <c r="W17" s="19" t="s">
        <v>3</v>
      </c>
      <c r="X17" s="19" t="s">
        <v>3</v>
      </c>
      <c r="Y17" s="19"/>
      <c r="Z17" s="19"/>
      <c r="AA17" s="19" t="s">
        <v>3</v>
      </c>
      <c r="AB17" s="19" t="s">
        <v>3</v>
      </c>
      <c r="AC17" s="19" t="s">
        <v>3</v>
      </c>
      <c r="AD17" s="19" t="s">
        <v>3</v>
      </c>
      <c r="AE17" s="19" t="s">
        <v>3</v>
      </c>
      <c r="AF17" s="26"/>
      <c r="AG17" s="1"/>
    </row>
    <row r="18" spans="1:33" x14ac:dyDescent="0.3">
      <c r="A18" s="25" t="s">
        <v>80</v>
      </c>
      <c r="B18" s="19" t="s">
        <v>3</v>
      </c>
      <c r="C18" s="19" t="s">
        <v>3</v>
      </c>
      <c r="D18" s="19"/>
      <c r="E18" s="19"/>
      <c r="F18" s="19" t="s">
        <v>3</v>
      </c>
      <c r="G18" s="19" t="s">
        <v>3</v>
      </c>
      <c r="H18" s="19" t="s">
        <v>3</v>
      </c>
      <c r="I18" s="19" t="s">
        <v>3</v>
      </c>
      <c r="J18" s="19" t="s">
        <v>3</v>
      </c>
      <c r="K18" s="19"/>
      <c r="L18" s="19"/>
      <c r="M18" s="19" t="s">
        <v>3</v>
      </c>
      <c r="N18" s="19" t="s">
        <v>3</v>
      </c>
      <c r="O18" s="19" t="s">
        <v>3</v>
      </c>
      <c r="P18" s="19" t="s">
        <v>3</v>
      </c>
      <c r="Q18" s="19" t="s">
        <v>3</v>
      </c>
      <c r="R18" s="19"/>
      <c r="S18" s="19"/>
      <c r="T18" s="19" t="s">
        <v>3</v>
      </c>
      <c r="U18" s="19" t="s">
        <v>3</v>
      </c>
      <c r="V18" s="19" t="s">
        <v>3</v>
      </c>
      <c r="W18" s="19" t="s">
        <v>3</v>
      </c>
      <c r="X18" s="19" t="s">
        <v>3</v>
      </c>
      <c r="Y18" s="19"/>
      <c r="Z18" s="19"/>
      <c r="AA18" s="19" t="s">
        <v>3</v>
      </c>
      <c r="AB18" s="19" t="s">
        <v>3</v>
      </c>
      <c r="AC18" s="19" t="s">
        <v>3</v>
      </c>
      <c r="AD18" s="19" t="s">
        <v>3</v>
      </c>
      <c r="AE18" s="19" t="s">
        <v>3</v>
      </c>
      <c r="AF18" s="26"/>
      <c r="AG18" s="1"/>
    </row>
    <row r="19" spans="1:33" x14ac:dyDescent="0.3">
      <c r="A19" s="25" t="s">
        <v>6</v>
      </c>
      <c r="B19" s="19" t="s">
        <v>3</v>
      </c>
      <c r="C19" s="19" t="s">
        <v>3</v>
      </c>
      <c r="D19" s="19"/>
      <c r="E19" s="19"/>
      <c r="F19" s="19" t="s">
        <v>3</v>
      </c>
      <c r="G19" s="19" t="s">
        <v>3</v>
      </c>
      <c r="H19" s="19" t="s">
        <v>3</v>
      </c>
      <c r="I19" s="19" t="s">
        <v>3</v>
      </c>
      <c r="J19" s="19" t="s">
        <v>3</v>
      </c>
      <c r="K19" s="19"/>
      <c r="L19" s="19"/>
      <c r="M19" s="19" t="s">
        <v>3</v>
      </c>
      <c r="N19" s="19" t="s">
        <v>3</v>
      </c>
      <c r="O19" s="19" t="s">
        <v>3</v>
      </c>
      <c r="P19" s="19" t="s">
        <v>3</v>
      </c>
      <c r="Q19" s="19" t="s">
        <v>3</v>
      </c>
      <c r="R19" s="19"/>
      <c r="S19" s="19"/>
      <c r="T19" s="19" t="s">
        <v>3</v>
      </c>
      <c r="U19" s="19" t="s">
        <v>3</v>
      </c>
      <c r="V19" s="19" t="s">
        <v>3</v>
      </c>
      <c r="W19" s="19" t="s">
        <v>3</v>
      </c>
      <c r="X19" s="19" t="s">
        <v>3</v>
      </c>
      <c r="Y19" s="19"/>
      <c r="Z19" s="19"/>
      <c r="AA19" s="19" t="s">
        <v>3</v>
      </c>
      <c r="AB19" s="19" t="s">
        <v>3</v>
      </c>
      <c r="AC19" s="19" t="s">
        <v>3</v>
      </c>
      <c r="AD19" s="19" t="s">
        <v>3</v>
      </c>
      <c r="AE19" s="19" t="s">
        <v>3</v>
      </c>
      <c r="AF19" s="26"/>
      <c r="AG19" s="1"/>
    </row>
    <row r="20" spans="1:33" x14ac:dyDescent="0.3">
      <c r="A20" s="25" t="s">
        <v>73</v>
      </c>
      <c r="B20" s="19" t="s">
        <v>3</v>
      </c>
      <c r="C20" s="19" t="s">
        <v>3</v>
      </c>
      <c r="D20" s="19"/>
      <c r="E20" s="19"/>
      <c r="F20" s="19" t="s">
        <v>3</v>
      </c>
      <c r="G20" s="19" t="s">
        <v>3</v>
      </c>
      <c r="H20" s="19" t="s">
        <v>3</v>
      </c>
      <c r="I20" s="19" t="s">
        <v>3</v>
      </c>
      <c r="J20" s="19" t="s">
        <v>3</v>
      </c>
      <c r="K20" s="19"/>
      <c r="L20" s="19"/>
      <c r="M20" s="19" t="s">
        <v>3</v>
      </c>
      <c r="N20" s="19" t="s">
        <v>3</v>
      </c>
      <c r="O20" s="19" t="s">
        <v>3</v>
      </c>
      <c r="P20" s="19" t="s">
        <v>3</v>
      </c>
      <c r="Q20" s="19" t="s">
        <v>3</v>
      </c>
      <c r="R20" s="19"/>
      <c r="S20" s="19"/>
      <c r="T20" s="19" t="s">
        <v>3</v>
      </c>
      <c r="U20" s="19" t="s">
        <v>3</v>
      </c>
      <c r="V20" s="19" t="s">
        <v>3</v>
      </c>
      <c r="W20" s="19" t="s">
        <v>3</v>
      </c>
      <c r="X20" s="19" t="s">
        <v>3</v>
      </c>
      <c r="Y20" s="19"/>
      <c r="Z20" s="19"/>
      <c r="AA20" s="19" t="s">
        <v>3</v>
      </c>
      <c r="AB20" s="19" t="s">
        <v>3</v>
      </c>
      <c r="AC20" s="19" t="s">
        <v>3</v>
      </c>
      <c r="AD20" s="19" t="s">
        <v>3</v>
      </c>
      <c r="AE20" s="19" t="s">
        <v>3</v>
      </c>
      <c r="AF20" s="26"/>
      <c r="AG20" s="1"/>
    </row>
    <row r="21" spans="1:33" x14ac:dyDescent="0.3">
      <c r="A21" s="25" t="s">
        <v>9</v>
      </c>
      <c r="B21" s="19" t="s">
        <v>8</v>
      </c>
      <c r="C21" s="19" t="s">
        <v>8</v>
      </c>
      <c r="D21" s="19"/>
      <c r="E21" s="19"/>
      <c r="F21" s="19" t="s">
        <v>8</v>
      </c>
      <c r="G21" s="19" t="s">
        <v>8</v>
      </c>
      <c r="H21" s="19" t="s">
        <v>8</v>
      </c>
      <c r="I21" s="19" t="s">
        <v>8</v>
      </c>
      <c r="J21" s="19" t="s">
        <v>8</v>
      </c>
      <c r="K21" s="19"/>
      <c r="L21" s="19"/>
      <c r="M21" s="19" t="s">
        <v>8</v>
      </c>
      <c r="N21" s="19" t="s">
        <v>8</v>
      </c>
      <c r="O21" s="19" t="s">
        <v>8</v>
      </c>
      <c r="P21" s="19" t="s">
        <v>8</v>
      </c>
      <c r="Q21" s="19" t="s">
        <v>8</v>
      </c>
      <c r="R21" s="19"/>
      <c r="S21" s="19"/>
      <c r="T21" s="19" t="s">
        <v>8</v>
      </c>
      <c r="U21" s="19" t="s">
        <v>8</v>
      </c>
      <c r="V21" s="19" t="s">
        <v>8</v>
      </c>
      <c r="W21" s="19" t="s">
        <v>8</v>
      </c>
      <c r="X21" s="19" t="s">
        <v>8</v>
      </c>
      <c r="Y21" s="19"/>
      <c r="Z21" s="19"/>
      <c r="AA21" s="19" t="s">
        <v>8</v>
      </c>
      <c r="AB21" s="19" t="s">
        <v>8</v>
      </c>
      <c r="AC21" s="19" t="s">
        <v>8</v>
      </c>
      <c r="AD21" s="19" t="s">
        <v>8</v>
      </c>
      <c r="AE21" s="19" t="s">
        <v>8</v>
      </c>
      <c r="AF21" s="26"/>
      <c r="AG21" s="1"/>
    </row>
    <row r="22" spans="1:33" x14ac:dyDescent="0.3">
      <c r="A22" s="25" t="s">
        <v>74</v>
      </c>
      <c r="B22" s="19" t="s">
        <v>8</v>
      </c>
      <c r="C22" s="19" t="s">
        <v>8</v>
      </c>
      <c r="D22" s="19"/>
      <c r="E22" s="19"/>
      <c r="F22" s="19" t="s">
        <v>8</v>
      </c>
      <c r="G22" s="19" t="s">
        <v>8</v>
      </c>
      <c r="H22" s="19" t="s">
        <v>8</v>
      </c>
      <c r="I22" s="19" t="s">
        <v>8</v>
      </c>
      <c r="J22" s="19" t="s">
        <v>8</v>
      </c>
      <c r="K22" s="19"/>
      <c r="L22" s="19"/>
      <c r="M22" s="19" t="s">
        <v>8</v>
      </c>
      <c r="N22" s="19" t="s">
        <v>8</v>
      </c>
      <c r="O22" s="19" t="s">
        <v>8</v>
      </c>
      <c r="P22" s="19" t="s">
        <v>8</v>
      </c>
      <c r="Q22" s="19" t="s">
        <v>8</v>
      </c>
      <c r="R22" s="19"/>
      <c r="S22" s="19"/>
      <c r="T22" s="19" t="s">
        <v>8</v>
      </c>
      <c r="U22" s="19" t="s">
        <v>8</v>
      </c>
      <c r="V22" s="19" t="s">
        <v>8</v>
      </c>
      <c r="W22" s="19" t="s">
        <v>8</v>
      </c>
      <c r="X22" s="19" t="s">
        <v>8</v>
      </c>
      <c r="Y22" s="19"/>
      <c r="Z22" s="19"/>
      <c r="AA22" s="19" t="s">
        <v>8</v>
      </c>
      <c r="AB22" s="19" t="s">
        <v>8</v>
      </c>
      <c r="AC22" s="19" t="s">
        <v>8</v>
      </c>
      <c r="AD22" s="19" t="s">
        <v>8</v>
      </c>
      <c r="AE22" s="19" t="s">
        <v>8</v>
      </c>
      <c r="AF22" s="26"/>
      <c r="AG22" s="1"/>
    </row>
    <row r="23" spans="1:33" x14ac:dyDescent="0.3">
      <c r="A23" s="25" t="s">
        <v>10</v>
      </c>
      <c r="B23" s="19" t="s">
        <v>11</v>
      </c>
      <c r="C23" s="19" t="s">
        <v>11</v>
      </c>
      <c r="D23" s="19"/>
      <c r="E23" s="19"/>
      <c r="F23" s="19" t="s">
        <v>11</v>
      </c>
      <c r="G23" s="19" t="s">
        <v>11</v>
      </c>
      <c r="H23" s="19" t="s">
        <v>11</v>
      </c>
      <c r="I23" s="19" t="s">
        <v>11</v>
      </c>
      <c r="J23" s="19" t="s">
        <v>11</v>
      </c>
      <c r="K23" s="19"/>
      <c r="L23" s="19"/>
      <c r="M23" s="19" t="s">
        <v>11</v>
      </c>
      <c r="N23" s="19" t="s">
        <v>11</v>
      </c>
      <c r="O23" s="19" t="s">
        <v>11</v>
      </c>
      <c r="P23" s="19" t="s">
        <v>11</v>
      </c>
      <c r="Q23" s="19" t="s">
        <v>11</v>
      </c>
      <c r="R23" s="19"/>
      <c r="S23" s="19"/>
      <c r="T23" s="19" t="s">
        <v>11</v>
      </c>
      <c r="U23" s="19" t="s">
        <v>11</v>
      </c>
      <c r="V23" s="19" t="s">
        <v>11</v>
      </c>
      <c r="W23" s="19" t="s">
        <v>11</v>
      </c>
      <c r="X23" s="19" t="s">
        <v>11</v>
      </c>
      <c r="Y23" s="19"/>
      <c r="Z23" s="19"/>
      <c r="AA23" s="19" t="s">
        <v>11</v>
      </c>
      <c r="AB23" s="19" t="s">
        <v>11</v>
      </c>
      <c r="AC23" s="19" t="s">
        <v>11</v>
      </c>
      <c r="AD23" s="19" t="s">
        <v>11</v>
      </c>
      <c r="AE23" s="19" t="s">
        <v>11</v>
      </c>
      <c r="AF23" s="26"/>
      <c r="AG23" s="1"/>
    </row>
    <row r="24" spans="1:33" ht="15" thickBot="1" x14ac:dyDescent="0.35">
      <c r="A24" s="27" t="s">
        <v>12</v>
      </c>
      <c r="B24" s="28" t="s">
        <v>11</v>
      </c>
      <c r="C24" s="28" t="s">
        <v>11</v>
      </c>
      <c r="D24" s="28"/>
      <c r="E24" s="28"/>
      <c r="F24" s="28" t="s">
        <v>11</v>
      </c>
      <c r="G24" s="28" t="s">
        <v>11</v>
      </c>
      <c r="H24" s="28" t="s">
        <v>11</v>
      </c>
      <c r="I24" s="28" t="s">
        <v>11</v>
      </c>
      <c r="J24" s="28" t="s">
        <v>11</v>
      </c>
      <c r="K24" s="28"/>
      <c r="L24" s="28"/>
      <c r="M24" s="28" t="s">
        <v>11</v>
      </c>
      <c r="N24" s="28" t="s">
        <v>11</v>
      </c>
      <c r="O24" s="28" t="s">
        <v>11</v>
      </c>
      <c r="P24" s="28" t="s">
        <v>11</v>
      </c>
      <c r="Q24" s="28" t="s">
        <v>11</v>
      </c>
      <c r="R24" s="28"/>
      <c r="S24" s="28"/>
      <c r="T24" s="28" t="s">
        <v>11</v>
      </c>
      <c r="U24" s="28" t="s">
        <v>11</v>
      </c>
      <c r="V24" s="28" t="s">
        <v>11</v>
      </c>
      <c r="W24" s="28" t="s">
        <v>11</v>
      </c>
      <c r="X24" s="28" t="s">
        <v>11</v>
      </c>
      <c r="Y24" s="28"/>
      <c r="Z24" s="28"/>
      <c r="AA24" s="28" t="s">
        <v>11</v>
      </c>
      <c r="AB24" s="28" t="s">
        <v>11</v>
      </c>
      <c r="AC24" s="28" t="s">
        <v>11</v>
      </c>
      <c r="AD24" s="28" t="s">
        <v>11</v>
      </c>
      <c r="AE24" s="28" t="s">
        <v>11</v>
      </c>
      <c r="AF24" s="29"/>
      <c r="AG24" s="1"/>
    </row>
    <row r="25" spans="1:33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</sheetData>
  <sheetProtection formatCells="0" formatColumns="0" formatRows="0" insertColumns="0" insertRows="0" insertHyperlinks="0" deleteColumns="0" deleteRows="0" sort="0" autoFilter="0" pivotTables="0"/>
  <mergeCells count="39">
    <mergeCell ref="N8:O8"/>
    <mergeCell ref="N9:O9"/>
    <mergeCell ref="P5:R5"/>
    <mergeCell ref="S6:U6"/>
    <mergeCell ref="S5:U5"/>
    <mergeCell ref="S7:U7"/>
    <mergeCell ref="S8:U8"/>
    <mergeCell ref="S9:U9"/>
    <mergeCell ref="V5:X5"/>
    <mergeCell ref="V6:X6"/>
    <mergeCell ref="V7:X7"/>
    <mergeCell ref="V8:X8"/>
    <mergeCell ref="V9:X9"/>
    <mergeCell ref="H8:I8"/>
    <mergeCell ref="H9:I9"/>
    <mergeCell ref="H6:I6"/>
    <mergeCell ref="H10:I10"/>
    <mergeCell ref="H5:I5"/>
    <mergeCell ref="AA7:AB7"/>
    <mergeCell ref="AA8:AB8"/>
    <mergeCell ref="AC6:AD6"/>
    <mergeCell ref="AC7:AD7"/>
    <mergeCell ref="AC8:AD8"/>
    <mergeCell ref="A14:AF14"/>
    <mergeCell ref="B5:C5"/>
    <mergeCell ref="D5:G5"/>
    <mergeCell ref="B6:C6"/>
    <mergeCell ref="D6:G6"/>
    <mergeCell ref="B7:C7"/>
    <mergeCell ref="D7:G7"/>
    <mergeCell ref="M5:M7"/>
    <mergeCell ref="N5:O7"/>
    <mergeCell ref="P6:R6"/>
    <mergeCell ref="P7:R7"/>
    <mergeCell ref="P8:R8"/>
    <mergeCell ref="P9:R9"/>
    <mergeCell ref="H7:I7"/>
    <mergeCell ref="Z5:AD5"/>
    <mergeCell ref="AA6:AB6"/>
  </mergeCells>
  <phoneticPr fontId="5" type="noConversion"/>
  <conditionalFormatting sqref="B3:AF3">
    <cfRule type="containsText" dxfId="1191" priority="153" operator="containsText" text="FE">
      <formula>NOT(ISERROR(SEARCH("FE",B3)))</formula>
    </cfRule>
  </conditionalFormatting>
  <conditionalFormatting sqref="B17:AF24">
    <cfRule type="containsText" dxfId="1190" priority="23" operator="containsText" text="HB">
      <formula>NOT(ISERROR(SEARCH("HB",B17)))</formula>
    </cfRule>
    <cfRule type="containsText" dxfId="1189" priority="76" operator="containsText" text="OT">
      <formula>NOT(ISERROR(SEARCH("OT",B17)))</formula>
    </cfRule>
    <cfRule type="containsText" dxfId="1188" priority="77" operator="containsText" text="SD">
      <formula>NOT(ISERROR(SEARCH("SD",B17)))</formula>
    </cfRule>
    <cfRule type="containsText" dxfId="1187" priority="86" operator="containsText" text="E3">
      <formula>NOT(ISERROR(SEARCH("E3",B17)))</formula>
    </cfRule>
    <cfRule type="containsText" dxfId="1186" priority="87" operator="containsText" text="E2">
      <formula>NOT(ISERROR(SEARCH("E2",B17)))</formula>
    </cfRule>
    <cfRule type="containsText" dxfId="1185" priority="88" operator="containsText" text="E1">
      <formula>NOT(ISERROR(SEARCH("E1",B17)))</formula>
    </cfRule>
    <cfRule type="containsText" dxfId="1184" priority="148" operator="containsText" text="DO">
      <formula>NOT(ISERROR(SEARCH("DO",B17)))</formula>
    </cfRule>
    <cfRule type="containsText" dxfId="1183" priority="149" operator="containsText" text="VA">
      <formula>NOT(ISERROR(SEARCH("VA",B17)))</formula>
    </cfRule>
    <cfRule type="containsText" dxfId="1182" priority="150" operator="containsText" text="T1">
      <formula>NOT(ISERROR(SEARCH("T1",B17)))</formula>
    </cfRule>
    <cfRule type="containsText" dxfId="1181" priority="151" operator="containsText" text="T2">
      <formula>NOT(ISERROR(SEARCH("T2",B17)))</formula>
    </cfRule>
    <cfRule type="containsText" dxfId="1180" priority="152" operator="containsText" text="T3">
      <formula>NOT(ISERROR(SEARCH("T3",B17)))</formula>
    </cfRule>
  </conditionalFormatting>
  <conditionalFormatting sqref="B15:AF15">
    <cfRule type="containsText" dxfId="1179" priority="114" operator="containsText" text="DOM">
      <formula>NOT(ISERROR(SEARCH("DOM",B15)))</formula>
    </cfRule>
    <cfRule type="containsText" dxfId="1178" priority="115" operator="containsText" text="SÁB">
      <formula>NOT(ISERROR(SEARCH("SÁB",B15)))</formula>
    </cfRule>
  </conditionalFormatting>
  <conditionalFormatting sqref="J7">
    <cfRule type="containsText" dxfId="1177" priority="113" operator="containsText" text="FE">
      <formula>NOT(ISERROR(SEARCH("FE",J7)))</formula>
    </cfRule>
  </conditionalFormatting>
  <conditionalFormatting sqref="M5">
    <cfRule type="containsText" dxfId="1176" priority="101" operator="containsText" text="T3">
      <formula>NOT(ISERROR(SEARCH("T3",M5)))</formula>
    </cfRule>
    <cfRule type="containsText" dxfId="1175" priority="102" operator="containsText" text="T2">
      <formula>NOT(ISERROR(SEARCH("T2",M5)))</formula>
    </cfRule>
    <cfRule type="containsText" dxfId="1174" priority="103" operator="containsText" text="T1">
      <formula>NOT(ISERROR(SEARCH("T1",M5)))</formula>
    </cfRule>
  </conditionalFormatting>
  <conditionalFormatting sqref="B16">
    <cfRule type="expression" dxfId="1173" priority="271">
      <formula>$B$3="FE"</formula>
    </cfRule>
  </conditionalFormatting>
  <conditionalFormatting sqref="C16">
    <cfRule type="expression" dxfId="1172" priority="272">
      <formula>$C$3="FE"</formula>
    </cfRule>
    <cfRule type="expression" dxfId="1171" priority="273">
      <formula>$C$3="FE"</formula>
    </cfRule>
  </conditionalFormatting>
  <conditionalFormatting sqref="D16">
    <cfRule type="expression" dxfId="1170" priority="274">
      <formula>$D$3="FE"</formula>
    </cfRule>
    <cfRule type="expression" dxfId="1169" priority="275">
      <formula>$D$3="FE"</formula>
    </cfRule>
  </conditionalFormatting>
  <conditionalFormatting sqref="F16">
    <cfRule type="expression" dxfId="1168" priority="276">
      <formula>$F$3="FE"</formula>
    </cfRule>
    <cfRule type="expression" dxfId="1167" priority="277">
      <formula>$F$3="FE"</formula>
    </cfRule>
  </conditionalFormatting>
  <conditionalFormatting sqref="G16">
    <cfRule type="expression" dxfId="1166" priority="278">
      <formula>$G$3="FE"</formula>
    </cfRule>
    <cfRule type="expression" dxfId="1165" priority="279">
      <formula>$G$3="FE"</formula>
    </cfRule>
  </conditionalFormatting>
  <conditionalFormatting sqref="H16">
    <cfRule type="expression" dxfId="1164" priority="280">
      <formula>$H$3="FE"</formula>
    </cfRule>
  </conditionalFormatting>
  <conditionalFormatting sqref="I16">
    <cfRule type="expression" dxfId="1163" priority="281">
      <formula>$I$3="FE"</formula>
    </cfRule>
    <cfRule type="expression" dxfId="1162" priority="282">
      <formula>$I$3="FE"</formula>
    </cfRule>
  </conditionalFormatting>
  <conditionalFormatting sqref="J16">
    <cfRule type="expression" dxfId="1161" priority="283">
      <formula>$J$3="FE"</formula>
    </cfRule>
    <cfRule type="expression" dxfId="1160" priority="284">
      <formula>$J$3="FE"</formula>
    </cfRule>
  </conditionalFormatting>
  <conditionalFormatting sqref="K16">
    <cfRule type="expression" dxfId="1159" priority="285">
      <formula>$K$3="FE"</formula>
    </cfRule>
  </conditionalFormatting>
  <conditionalFormatting sqref="L16">
    <cfRule type="expression" dxfId="1158" priority="286">
      <formula>$L$3="FE"</formula>
    </cfRule>
  </conditionalFormatting>
  <conditionalFormatting sqref="M16">
    <cfRule type="expression" dxfId="1157" priority="287">
      <formula>$M$3="FE"</formula>
    </cfRule>
  </conditionalFormatting>
  <conditionalFormatting sqref="N16">
    <cfRule type="expression" dxfId="1156" priority="288">
      <formula>$N$3="FE"</formula>
    </cfRule>
  </conditionalFormatting>
  <conditionalFormatting sqref="O16">
    <cfRule type="expression" dxfId="1155" priority="289">
      <formula>$O$3="FE"</formula>
    </cfRule>
  </conditionalFormatting>
  <conditionalFormatting sqref="P16">
    <cfRule type="expression" dxfId="1154" priority="290">
      <formula>$P$3="FE"</formula>
    </cfRule>
  </conditionalFormatting>
  <conditionalFormatting sqref="Q16">
    <cfRule type="expression" dxfId="1153" priority="291">
      <formula>$Q$3="FE"</formula>
    </cfRule>
  </conditionalFormatting>
  <conditionalFormatting sqref="R16">
    <cfRule type="expression" dxfId="1152" priority="292">
      <formula>$R$3="FE"</formula>
    </cfRule>
  </conditionalFormatting>
  <conditionalFormatting sqref="S16">
    <cfRule type="expression" dxfId="1151" priority="293">
      <formula>$S$3="FE"</formula>
    </cfRule>
  </conditionalFormatting>
  <conditionalFormatting sqref="T16">
    <cfRule type="expression" dxfId="1150" priority="294">
      <formula>$T$3="FE"</formula>
    </cfRule>
  </conditionalFormatting>
  <conditionalFormatting sqref="U16">
    <cfRule type="expression" dxfId="1149" priority="295">
      <formula>$U$3="FE"</formula>
    </cfRule>
  </conditionalFormatting>
  <conditionalFormatting sqref="V16">
    <cfRule type="expression" dxfId="1148" priority="296">
      <formula>$V$3="FE"</formula>
    </cfRule>
  </conditionalFormatting>
  <conditionalFormatting sqref="W16">
    <cfRule type="expression" dxfId="1147" priority="297">
      <formula>$W$3="FE"</formula>
    </cfRule>
  </conditionalFormatting>
  <conditionalFormatting sqref="X16">
    <cfRule type="expression" dxfId="1146" priority="298">
      <formula>$X$3="FE"</formula>
    </cfRule>
  </conditionalFormatting>
  <conditionalFormatting sqref="Y16">
    <cfRule type="expression" dxfId="1145" priority="299">
      <formula>$Y$3="FE"</formula>
    </cfRule>
  </conditionalFormatting>
  <conditionalFormatting sqref="Z16">
    <cfRule type="expression" dxfId="1144" priority="300">
      <formula>$Z$3="FE"</formula>
    </cfRule>
  </conditionalFormatting>
  <conditionalFormatting sqref="AA16">
    <cfRule type="expression" dxfId="1143" priority="301">
      <formula>$AA$3="FE"</formula>
    </cfRule>
  </conditionalFormatting>
  <conditionalFormatting sqref="AB16">
    <cfRule type="expression" dxfId="1142" priority="302">
      <formula>$AB$3="FE"</formula>
    </cfRule>
  </conditionalFormatting>
  <conditionalFormatting sqref="AC16">
    <cfRule type="expression" dxfId="1141" priority="303">
      <formula>$AC$3="FE"</formula>
    </cfRule>
  </conditionalFormatting>
  <conditionalFormatting sqref="AD16">
    <cfRule type="expression" dxfId="1140" priority="304">
      <formula>$AD$3="FE"</formula>
    </cfRule>
  </conditionalFormatting>
  <conditionalFormatting sqref="AE16">
    <cfRule type="expression" dxfId="1139" priority="305">
      <formula>$AE$3="FE"</formula>
    </cfRule>
  </conditionalFormatting>
  <conditionalFormatting sqref="AF16">
    <cfRule type="expression" dxfId="1138" priority="306">
      <formula>$AF$3="FE"</formula>
    </cfRule>
  </conditionalFormatting>
  <conditionalFormatting sqref="E16">
    <cfRule type="expression" dxfId="1137" priority="307">
      <formula>$E$3="FE"</formula>
    </cfRule>
  </conditionalFormatting>
  <conditionalFormatting sqref="Z6:Z8 J5 J8:J10">
    <cfRule type="containsText" dxfId="1136" priority="54" operator="containsText" text="OT">
      <formula>NOT(ISERROR(SEARCH("OT",J5)))</formula>
    </cfRule>
    <cfRule type="containsText" dxfId="1135" priority="55" operator="containsText" text="SD">
      <formula>NOT(ISERROR(SEARCH("SD",J5)))</formula>
    </cfRule>
    <cfRule type="containsText" dxfId="1134" priority="56" operator="containsText" text="E3">
      <formula>NOT(ISERROR(SEARCH("E3",J5)))</formula>
    </cfRule>
    <cfRule type="containsText" dxfId="1133" priority="57" operator="containsText" text="E2">
      <formula>NOT(ISERROR(SEARCH("E2",J5)))</formula>
    </cfRule>
    <cfRule type="containsText" dxfId="1132" priority="58" operator="containsText" text="E1">
      <formula>NOT(ISERROR(SEARCH("E1",J5)))</formula>
    </cfRule>
    <cfRule type="containsText" dxfId="1131" priority="59" operator="containsText" text="DO">
      <formula>NOT(ISERROR(SEARCH("DO",J5)))</formula>
    </cfRule>
    <cfRule type="containsText" dxfId="1130" priority="60" operator="containsText" text="VA">
      <formula>NOT(ISERROR(SEARCH("VA",J5)))</formula>
    </cfRule>
    <cfRule type="containsText" dxfId="1129" priority="61" operator="containsText" text="T1">
      <formula>NOT(ISERROR(SEARCH("T1",J5)))</formula>
    </cfRule>
    <cfRule type="containsText" dxfId="1128" priority="62" operator="containsText" text="T2">
      <formula>NOT(ISERROR(SEARCH("T2",J5)))</formula>
    </cfRule>
    <cfRule type="containsText" dxfId="1127" priority="63" operator="containsText" text="T3">
      <formula>NOT(ISERROR(SEARCH("T3",J5)))</formula>
    </cfRule>
  </conditionalFormatting>
  <conditionalFormatting sqref="M8:M9">
    <cfRule type="containsText" dxfId="1126" priority="44" operator="containsText" text="OT">
      <formula>NOT(ISERROR(SEARCH("OT",M8)))</formula>
    </cfRule>
    <cfRule type="containsText" dxfId="1125" priority="45" operator="containsText" text="SD">
      <formula>NOT(ISERROR(SEARCH("SD",M8)))</formula>
    </cfRule>
    <cfRule type="containsText" dxfId="1124" priority="46" operator="containsText" text="E3">
      <formula>NOT(ISERROR(SEARCH("E3",M8)))</formula>
    </cfRule>
    <cfRule type="containsText" dxfId="1123" priority="47" operator="containsText" text="E2">
      <formula>NOT(ISERROR(SEARCH("E2",M8)))</formula>
    </cfRule>
    <cfRule type="containsText" dxfId="1122" priority="48" operator="containsText" text="E1">
      <formula>NOT(ISERROR(SEARCH("E1",M8)))</formula>
    </cfRule>
    <cfRule type="containsText" dxfId="1121" priority="49" operator="containsText" text="DO">
      <formula>NOT(ISERROR(SEARCH("DO",M8)))</formula>
    </cfRule>
    <cfRule type="containsText" dxfId="1120" priority="50" operator="containsText" text="VA">
      <formula>NOT(ISERROR(SEARCH("VA",M8)))</formula>
    </cfRule>
    <cfRule type="containsText" dxfId="1119" priority="51" operator="containsText" text="T1">
      <formula>NOT(ISERROR(SEARCH("T1",M8)))</formula>
    </cfRule>
    <cfRule type="containsText" dxfId="1118" priority="52" operator="containsText" text="T2">
      <formula>NOT(ISERROR(SEARCH("T2",M8)))</formula>
    </cfRule>
    <cfRule type="containsText" dxfId="1117" priority="53" operator="containsText" text="T3">
      <formula>NOT(ISERROR(SEARCH("T3",M8)))</formula>
    </cfRule>
  </conditionalFormatting>
  <conditionalFormatting sqref="J6">
    <cfRule type="containsText" dxfId="1116" priority="1" operator="containsText" text="HB">
      <formula>NOT(ISERROR(SEARCH("HB",J6)))</formula>
    </cfRule>
    <cfRule type="containsText" dxfId="1115" priority="2" operator="containsText" text="OT">
      <formula>NOT(ISERROR(SEARCH("OT",J6)))</formula>
    </cfRule>
    <cfRule type="containsText" dxfId="1114" priority="3" operator="containsText" text="SD">
      <formula>NOT(ISERROR(SEARCH("SD",J6)))</formula>
    </cfRule>
    <cfRule type="containsText" dxfId="1113" priority="4" operator="containsText" text="E3">
      <formula>NOT(ISERROR(SEARCH("E3",J6)))</formula>
    </cfRule>
    <cfRule type="containsText" dxfId="1112" priority="5" operator="containsText" text="E2">
      <formula>NOT(ISERROR(SEARCH("E2",J6)))</formula>
    </cfRule>
    <cfRule type="containsText" dxfId="1111" priority="6" operator="containsText" text="E1">
      <formula>NOT(ISERROR(SEARCH("E1",J6)))</formula>
    </cfRule>
    <cfRule type="containsText" dxfId="1110" priority="7" operator="containsText" text="DO">
      <formula>NOT(ISERROR(SEARCH("DO",J6)))</formula>
    </cfRule>
    <cfRule type="containsText" dxfId="1109" priority="8" operator="containsText" text="VA">
      <formula>NOT(ISERROR(SEARCH("VA",J6)))</formula>
    </cfRule>
    <cfRule type="containsText" dxfId="1108" priority="9" operator="containsText" text="T1">
      <formula>NOT(ISERROR(SEARCH("T1",J6)))</formula>
    </cfRule>
    <cfRule type="containsText" dxfId="1107" priority="10" operator="containsText" text="T2">
      <formula>NOT(ISERROR(SEARCH("T2",J6)))</formula>
    </cfRule>
    <cfRule type="containsText" dxfId="1106" priority="11" operator="containsText" text="T3">
      <formula>NOT(ISERROR(SEARCH("T3",J6)))</formula>
    </cfRule>
  </conditionalFormatting>
  <dataValidations count="1">
    <dataValidation type="list" allowBlank="1" showInputMessage="1" showErrorMessage="1" sqref="M5" xr:uid="{763B6BDD-AF82-4D44-878C-BADF0365593A}">
      <formula1>$AG$21:$AG$21</formula1>
    </dataValidation>
  </dataValidations>
  <pageMargins left="0.51181102362204722" right="0.51181102362204722" top="0.78740157480314965" bottom="0.78740157480314965" header="0.31496062992125984" footer="0.31496062992125984"/>
  <pageSetup paperSize="5" scale="75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2F37316-8579-449C-907A-692D0E0D28A4}">
          <x14:formula1>
            <xm:f>Configuração!$Q$6:$Q$56</xm:f>
          </x14:formula1>
          <xm:sqref>D5:G5</xm:sqref>
        </x14:dataValidation>
        <x14:dataValidation type="list" allowBlank="1" showInputMessage="1" showErrorMessage="1" xr:uid="{C786B153-2824-4EBB-BE2A-6FBCFC96FAA4}">
          <x14:formula1>
            <xm:f>Configuração!$L$7:$L$27</xm:f>
          </x14:formula1>
          <xm:sqref>S5:X9 A17:A24</xm:sqref>
        </x14:dataValidation>
        <x14:dataValidation type="list" allowBlank="1" showInputMessage="1" showErrorMessage="1" xr:uid="{65F5E869-DC19-4302-8E3F-2C410EDB8955}">
          <x14:formula1>
            <xm:f>Configuração!$U$7:$U$16</xm:f>
          </x14:formula1>
          <xm:sqref>Z6:Z8 J8:J10 J5 M8:M9</xm:sqref>
        </x14:dataValidation>
        <x14:dataValidation type="list" allowBlank="1" showInputMessage="1" showErrorMessage="1" xr:uid="{508C7AED-9BA7-4117-A6FF-CBD084B8E9DD}">
          <x14:formula1>
            <xm:f>Configuração!$U$7:$U$17</xm:f>
          </x14:formula1>
          <xm:sqref>J6</xm:sqref>
        </x14:dataValidation>
        <x14:dataValidation type="list" allowBlank="1" showInputMessage="1" showErrorMessage="1" xr:uid="{206FBA41-A655-4F25-A22B-EA5119BEF0CF}">
          <x14:formula1>
            <xm:f>Configuração!$N$7:$N$1048576</xm:f>
          </x14:formula1>
          <xm:sqref>P5:P9</xm:sqref>
        </x14:dataValidation>
        <x14:dataValidation type="list" allowBlank="1" showInputMessage="1" showErrorMessage="1" xr:uid="{15AB4F59-F50E-4660-81A5-DD2E0AD96D09}">
          <x14:formula1>
            <xm:f>Configuração!$N$7:$N$23</xm:f>
          </x14:formula1>
          <xm:sqref>AC6:AD8</xm:sqref>
        </x14:dataValidation>
        <x14:dataValidation type="list" allowBlank="1" showInputMessage="1" showErrorMessage="1" xr:uid="{675A79DB-3E2D-4C77-B779-68A8EBCB8040}">
          <x14:formula1>
            <xm:f>Configuração!$U$7:$U$18</xm:f>
          </x14:formula1>
          <xm:sqref>B17:AF24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B142D-EE95-468D-A47C-DA01B35841A0}">
  <sheetPr codeName="Planilha1">
    <tabColor rgb="FFC09200"/>
  </sheetPr>
  <dimension ref="A1:DI203"/>
  <sheetViews>
    <sheetView zoomScale="80" zoomScaleNormal="80" workbookViewId="0">
      <selection activeCell="AD1" sqref="AD1"/>
    </sheetView>
  </sheetViews>
  <sheetFormatPr defaultColWidth="10" defaultRowHeight="14.4" x14ac:dyDescent="0.3"/>
  <cols>
    <col min="1" max="1" width="10.88671875" style="1" bestFit="1" customWidth="1"/>
    <col min="2" max="2" width="9" style="1" bestFit="1" customWidth="1"/>
    <col min="3" max="3" width="7.109375" style="1" bestFit="1" customWidth="1"/>
    <col min="4" max="4" width="6" style="1" customWidth="1"/>
    <col min="5" max="5" width="4.88671875" style="1" customWidth="1"/>
    <col min="6" max="6" width="4.44140625" style="1" bestFit="1" customWidth="1"/>
    <col min="7" max="7" width="5.44140625" style="1" bestFit="1" customWidth="1"/>
    <col min="8" max="8" width="11.33203125" style="1" bestFit="1" customWidth="1"/>
    <col min="9" max="9" width="4.44140625" style="1" bestFit="1" customWidth="1"/>
    <col min="10" max="10" width="7.6640625" style="1" customWidth="1"/>
    <col min="11" max="11" width="28.77734375" style="1" customWidth="1"/>
    <col min="12" max="12" width="17.6640625" style="1" bestFit="1" customWidth="1"/>
    <col min="13" max="13" width="8.6640625" style="1" hidden="1" customWidth="1"/>
    <col min="14" max="14" width="11.44140625" style="1" bestFit="1" customWidth="1"/>
    <col min="15" max="15" width="15.6640625" style="1" hidden="1" customWidth="1"/>
    <col min="16" max="16" width="5" style="1" bestFit="1" customWidth="1"/>
    <col min="17" max="17" width="11.33203125" style="1" hidden="1" customWidth="1"/>
    <col min="18" max="20" width="5" style="1" bestFit="1" customWidth="1"/>
    <col min="21" max="21" width="6.5546875" style="1" bestFit="1" customWidth="1"/>
    <col min="22" max="26" width="5" style="1" bestFit="1" customWidth="1"/>
    <col min="27" max="27" width="35.6640625" style="1" customWidth="1"/>
    <col min="28" max="28" width="5.44140625" style="1" bestFit="1" customWidth="1"/>
    <col min="29" max="29" width="5" style="1" bestFit="1" customWidth="1"/>
    <col min="30" max="16384" width="10" style="1"/>
  </cols>
  <sheetData>
    <row r="1" spans="1:63" ht="69" customHeight="1" x14ac:dyDescent="0.3">
      <c r="A1" s="33"/>
      <c r="B1" s="34"/>
      <c r="C1" s="12"/>
      <c r="D1" s="12"/>
      <c r="E1" s="12"/>
      <c r="F1" s="12"/>
      <c r="G1" s="12"/>
      <c r="H1" s="13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83"/>
      <c r="AB1" s="12"/>
      <c r="AC1" s="12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</row>
    <row r="2" spans="1:63" ht="75" customHeight="1" x14ac:dyDescent="0.3">
      <c r="A2" s="35"/>
      <c r="B2" s="14"/>
      <c r="C2" s="14"/>
      <c r="D2" s="14"/>
      <c r="E2" s="14"/>
      <c r="F2" s="14"/>
      <c r="G2" s="14"/>
      <c r="H2" s="15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84"/>
      <c r="AB2" s="14"/>
      <c r="AC2" s="14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</row>
    <row r="3" spans="1:63" x14ac:dyDescent="0.3"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63" ht="15" thickBot="1" x14ac:dyDescent="0.35"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63" ht="16.5" customHeight="1" thickBot="1" x14ac:dyDescent="0.35">
      <c r="C5" s="89" t="s">
        <v>76</v>
      </c>
      <c r="D5" s="89"/>
      <c r="E5" s="89"/>
      <c r="F5" s="89"/>
      <c r="G5" s="89"/>
      <c r="K5" s="86" t="s">
        <v>75</v>
      </c>
      <c r="L5" s="87"/>
      <c r="M5" s="87"/>
      <c r="N5" s="87"/>
      <c r="O5" s="88"/>
      <c r="Q5" s="4" t="s">
        <v>71</v>
      </c>
      <c r="S5" s="85" t="s">
        <v>38</v>
      </c>
      <c r="T5" s="85"/>
      <c r="U5" s="8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</row>
    <row r="6" spans="1:63" ht="16.5" customHeight="1" x14ac:dyDescent="0.3">
      <c r="C6" s="90" t="s">
        <v>34</v>
      </c>
      <c r="D6" s="90"/>
      <c r="E6" s="90" t="s">
        <v>35</v>
      </c>
      <c r="F6" s="90"/>
      <c r="G6" s="90"/>
      <c r="K6" s="61" t="s">
        <v>13</v>
      </c>
      <c r="L6" s="60" t="s">
        <v>36</v>
      </c>
      <c r="M6" s="60" t="s">
        <v>15</v>
      </c>
      <c r="N6" s="60" t="s">
        <v>37</v>
      </c>
      <c r="O6" s="62" t="s">
        <v>72</v>
      </c>
      <c r="Q6" s="5">
        <v>45658</v>
      </c>
      <c r="S6" s="91" t="s">
        <v>25</v>
      </c>
      <c r="T6" s="91"/>
      <c r="U6" s="38" t="s">
        <v>39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</row>
    <row r="7" spans="1:63" ht="16.5" customHeight="1" x14ac:dyDescent="0.3">
      <c r="B7" s="36" t="s">
        <v>9</v>
      </c>
      <c r="C7" s="74"/>
      <c r="D7" s="74"/>
      <c r="E7" s="74"/>
      <c r="F7" s="74"/>
      <c r="G7" s="74"/>
      <c r="K7" s="63" t="s">
        <v>57</v>
      </c>
      <c r="L7" s="37" t="s">
        <v>9</v>
      </c>
      <c r="M7" s="16" cm="1">
        <f t="array" ref="M7">ContarFerias(Escala!$B$17:$AF$17)</f>
        <v>0</v>
      </c>
      <c r="N7" s="31" t="s">
        <v>83</v>
      </c>
      <c r="O7" s="64"/>
      <c r="Q7" s="6">
        <v>46023</v>
      </c>
      <c r="S7" s="92" t="s">
        <v>26</v>
      </c>
      <c r="T7" s="92"/>
      <c r="U7" s="30" t="s">
        <v>3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</row>
    <row r="8" spans="1:63" ht="16.5" customHeight="1" x14ac:dyDescent="0.3">
      <c r="B8" s="36" t="s">
        <v>6</v>
      </c>
      <c r="C8" s="74"/>
      <c r="D8" s="74"/>
      <c r="E8" s="74"/>
      <c r="F8" s="74"/>
      <c r="G8" s="74"/>
      <c r="K8" s="63" t="s">
        <v>66</v>
      </c>
      <c r="L8" s="37" t="s">
        <v>6</v>
      </c>
      <c r="M8" s="16" t="e" cm="1">
        <f t="array" ref="M8">ContarFerias(Escala!#REF!)</f>
        <v>#VALUE!</v>
      </c>
      <c r="N8" s="31" t="s">
        <v>94</v>
      </c>
      <c r="O8" s="64"/>
      <c r="Q8" s="6">
        <v>46388</v>
      </c>
      <c r="U8" s="32" t="s">
        <v>8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</row>
    <row r="9" spans="1:63" ht="16.5" customHeight="1" x14ac:dyDescent="0.3">
      <c r="B9" s="36" t="s">
        <v>10</v>
      </c>
      <c r="C9" s="74"/>
      <c r="D9" s="74"/>
      <c r="E9" s="74"/>
      <c r="F9" s="74"/>
      <c r="G9" s="74"/>
      <c r="K9" s="63" t="s">
        <v>93</v>
      </c>
      <c r="L9" s="37" t="s">
        <v>10</v>
      </c>
      <c r="M9" s="16" t="e" cm="1">
        <f t="array" ref="M9">ContarFerias(Escala!#REF!)</f>
        <v>#VALUE!</v>
      </c>
      <c r="N9" s="31" t="s">
        <v>27</v>
      </c>
      <c r="O9" s="64"/>
      <c r="Q9" s="6">
        <v>46753</v>
      </c>
      <c r="U9" s="19" t="s">
        <v>11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1:63" ht="16.5" customHeight="1" thickBot="1" x14ac:dyDescent="0.35">
      <c r="B10" s="36" t="s">
        <v>74</v>
      </c>
      <c r="C10" s="74"/>
      <c r="D10" s="74"/>
      <c r="E10" s="74"/>
      <c r="F10" s="74"/>
      <c r="G10" s="74"/>
      <c r="K10" s="63" t="s">
        <v>90</v>
      </c>
      <c r="L10" s="37" t="s">
        <v>74</v>
      </c>
      <c r="M10" s="16" t="e" cm="1">
        <f t="array" ref="M10">ContarFerias(Escala!#REF!)</f>
        <v>#VALUE!</v>
      </c>
      <c r="N10" s="31" t="s">
        <v>30</v>
      </c>
      <c r="O10" s="64"/>
      <c r="Q10" s="6">
        <v>47119</v>
      </c>
      <c r="U10" s="19" t="s">
        <v>21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</row>
    <row r="11" spans="1:63" ht="16.5" customHeight="1" x14ac:dyDescent="0.3">
      <c r="B11" s="36" t="s">
        <v>80</v>
      </c>
      <c r="C11" s="74">
        <v>46055</v>
      </c>
      <c r="D11" s="74"/>
      <c r="E11" s="74">
        <v>46084</v>
      </c>
      <c r="F11" s="74"/>
      <c r="G11" s="74"/>
      <c r="K11" s="63" t="s">
        <v>58</v>
      </c>
      <c r="L11" s="37" t="s">
        <v>80</v>
      </c>
      <c r="M11" s="16" t="e" cm="1">
        <f t="array" ref="M11">ContarFerias(Escala!#REF!)</f>
        <v>#VALUE!</v>
      </c>
      <c r="N11" s="31" t="s">
        <v>84</v>
      </c>
      <c r="O11" s="64"/>
      <c r="Q11" s="5">
        <v>47484</v>
      </c>
      <c r="U11" s="19" t="s">
        <v>22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</row>
    <row r="12" spans="1:63" ht="16.5" customHeight="1" x14ac:dyDescent="0.3">
      <c r="B12" s="36" t="s">
        <v>12</v>
      </c>
      <c r="C12" s="74"/>
      <c r="D12" s="74"/>
      <c r="E12" s="74"/>
      <c r="F12" s="74"/>
      <c r="G12" s="74"/>
      <c r="K12" s="63" t="s">
        <v>59</v>
      </c>
      <c r="L12" s="37" t="s">
        <v>12</v>
      </c>
      <c r="M12" s="16" t="e" cm="1">
        <f t="array" ref="M12">ContarFerias(Escala!#REF!)</f>
        <v>#VALUE!</v>
      </c>
      <c r="N12" s="31"/>
      <c r="O12" s="64"/>
      <c r="Q12" s="6">
        <v>47849</v>
      </c>
      <c r="U12" s="19" t="s">
        <v>28</v>
      </c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</row>
    <row r="13" spans="1:63" ht="16.5" customHeight="1" x14ac:dyDescent="0.3">
      <c r="B13" s="36" t="s">
        <v>73</v>
      </c>
      <c r="C13" s="74">
        <v>46146</v>
      </c>
      <c r="D13" s="74"/>
      <c r="E13" s="74">
        <v>46165</v>
      </c>
      <c r="F13" s="74"/>
      <c r="G13" s="74"/>
      <c r="K13" s="63" t="s">
        <v>91</v>
      </c>
      <c r="L13" s="37" t="s">
        <v>73</v>
      </c>
      <c r="M13" s="16" t="e" cm="1">
        <f t="array" ref="M13">ContarFerias(Escala!#REF!)</f>
        <v>#VALUE!</v>
      </c>
      <c r="N13" s="31"/>
      <c r="O13" s="64"/>
      <c r="Q13" s="6">
        <v>48214</v>
      </c>
      <c r="U13" s="19" t="s">
        <v>31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</row>
    <row r="14" spans="1:63" ht="16.5" customHeight="1" x14ac:dyDescent="0.3">
      <c r="B14" s="36" t="s">
        <v>7</v>
      </c>
      <c r="C14" s="74">
        <v>46083</v>
      </c>
      <c r="D14" s="74"/>
      <c r="E14" s="74">
        <v>46112</v>
      </c>
      <c r="F14" s="74"/>
      <c r="G14" s="74"/>
      <c r="K14" s="63" t="s">
        <v>92</v>
      </c>
      <c r="L14" s="37" t="s">
        <v>7</v>
      </c>
      <c r="M14" s="16" t="e" cm="1">
        <f t="array" ref="M14">ContarFerias(Escala!#REF!)</f>
        <v>#VALUE!</v>
      </c>
      <c r="N14" s="31"/>
      <c r="O14" s="64"/>
      <c r="Q14" s="6">
        <v>48580</v>
      </c>
      <c r="U14" s="31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</row>
    <row r="15" spans="1:63" ht="16.5" customHeight="1" thickBot="1" x14ac:dyDescent="0.35">
      <c r="B15" s="36"/>
      <c r="C15" s="74"/>
      <c r="D15" s="74"/>
      <c r="E15" s="74"/>
      <c r="F15" s="74"/>
      <c r="G15" s="74"/>
      <c r="K15" s="63" t="s">
        <v>60</v>
      </c>
      <c r="L15" s="37"/>
      <c r="M15" s="16" t="e" cm="1">
        <f t="array" ref="M15">ContarFerias(Escala!#REF!)</f>
        <v>#VALUE!</v>
      </c>
      <c r="N15" s="31"/>
      <c r="O15" s="64"/>
      <c r="Q15" s="6">
        <v>48945</v>
      </c>
      <c r="U15" s="19" t="s">
        <v>67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</row>
    <row r="16" spans="1:63" ht="16.5" customHeight="1" x14ac:dyDescent="0.3">
      <c r="B16" s="36"/>
      <c r="C16" s="74"/>
      <c r="D16" s="74"/>
      <c r="E16" s="74"/>
      <c r="F16" s="74"/>
      <c r="G16" s="74"/>
      <c r="K16" s="63" t="s">
        <v>61</v>
      </c>
      <c r="L16" s="37"/>
      <c r="M16" s="16" t="e" cm="1">
        <f t="array" ref="M16">ContarFerias(Escala!#REF!)</f>
        <v>#VALUE!</v>
      </c>
      <c r="N16" s="31"/>
      <c r="O16" s="64"/>
      <c r="Q16" s="5">
        <v>49310</v>
      </c>
      <c r="U16" s="19" t="s">
        <v>69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1:113" ht="16.5" customHeight="1" x14ac:dyDescent="0.3">
      <c r="B17" s="36"/>
      <c r="C17" s="75"/>
      <c r="D17" s="75"/>
      <c r="E17" s="75"/>
      <c r="F17" s="75"/>
      <c r="G17" s="75"/>
      <c r="K17" s="63" t="s">
        <v>62</v>
      </c>
      <c r="L17" s="37"/>
      <c r="M17" s="31"/>
      <c r="N17" s="31"/>
      <c r="O17" s="64"/>
      <c r="Q17" s="6">
        <v>49675</v>
      </c>
      <c r="U17" s="19" t="s">
        <v>81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</row>
    <row r="18" spans="1:113" x14ac:dyDescent="0.3">
      <c r="B18" s="36"/>
      <c r="C18" s="75"/>
      <c r="D18" s="75"/>
      <c r="E18" s="75"/>
      <c r="F18" s="75"/>
      <c r="G18" s="75"/>
      <c r="K18" s="63" t="s">
        <v>63</v>
      </c>
      <c r="L18" s="37"/>
      <c r="M18" s="31"/>
      <c r="N18" s="31"/>
      <c r="O18" s="64"/>
      <c r="Q18" s="6">
        <v>50041</v>
      </c>
      <c r="U18" s="19" t="s">
        <v>16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</row>
    <row r="19" spans="1:113" ht="16.5" customHeight="1" x14ac:dyDescent="0.3">
      <c r="B19" s="36"/>
      <c r="C19" s="75"/>
      <c r="D19" s="75"/>
      <c r="E19" s="75"/>
      <c r="F19" s="75"/>
      <c r="G19" s="75"/>
      <c r="K19" s="63" t="s">
        <v>64</v>
      </c>
      <c r="L19" s="37"/>
      <c r="M19" s="31"/>
      <c r="N19" s="31"/>
      <c r="O19" s="64"/>
      <c r="Q19" s="6">
        <v>50406</v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</row>
    <row r="20" spans="1:113" ht="16.5" customHeight="1" thickBot="1" x14ac:dyDescent="0.35">
      <c r="A20" s="2"/>
      <c r="B20" s="36"/>
      <c r="C20" s="75"/>
      <c r="D20" s="75"/>
      <c r="E20" s="75"/>
      <c r="F20" s="75"/>
      <c r="G20" s="75"/>
      <c r="K20" s="63" t="s">
        <v>65</v>
      </c>
      <c r="L20" s="37"/>
      <c r="M20" s="31"/>
      <c r="N20" s="31"/>
      <c r="O20" s="64"/>
      <c r="Q20" s="6">
        <v>50771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1:113" ht="16.5" customHeight="1" x14ac:dyDescent="0.3">
      <c r="A21" s="2"/>
      <c r="B21" s="36"/>
      <c r="C21" s="75"/>
      <c r="D21" s="75"/>
      <c r="E21" s="75"/>
      <c r="F21" s="75"/>
      <c r="G21" s="75"/>
      <c r="K21" s="63"/>
      <c r="L21" s="37"/>
      <c r="M21" s="31"/>
      <c r="N21" s="31"/>
      <c r="O21" s="64"/>
      <c r="Q21" s="5">
        <v>51136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113" ht="16.5" customHeight="1" x14ac:dyDescent="0.3">
      <c r="B22" s="36"/>
      <c r="C22" s="75"/>
      <c r="D22" s="75"/>
      <c r="E22" s="75"/>
      <c r="F22" s="75"/>
      <c r="G22" s="75"/>
      <c r="K22" s="63"/>
      <c r="L22" s="37"/>
      <c r="M22" s="31"/>
      <c r="N22" s="31"/>
      <c r="O22" s="64"/>
      <c r="Q22" s="6">
        <v>51502</v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</row>
    <row r="23" spans="1:113" ht="16.5" customHeight="1" thickBot="1" x14ac:dyDescent="0.35">
      <c r="B23" s="36"/>
      <c r="C23" s="75"/>
      <c r="D23" s="75"/>
      <c r="E23" s="75"/>
      <c r="F23" s="75"/>
      <c r="G23" s="75"/>
      <c r="K23" s="65"/>
      <c r="L23" s="66"/>
      <c r="M23" s="67"/>
      <c r="N23" s="67"/>
      <c r="O23" s="68"/>
      <c r="Q23" s="6">
        <v>51867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</row>
    <row r="24" spans="1:113" ht="16.5" customHeight="1" x14ac:dyDescent="0.3">
      <c r="Q24" s="6">
        <v>52232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</row>
    <row r="25" spans="1:113" ht="16.5" customHeight="1" thickBot="1" x14ac:dyDescent="0.35">
      <c r="Q25" s="6">
        <v>52597</v>
      </c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</row>
    <row r="26" spans="1:113" ht="16.5" customHeight="1" x14ac:dyDescent="0.3">
      <c r="Q26" s="5">
        <v>52963</v>
      </c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</row>
    <row r="27" spans="1:113" ht="16.5" customHeight="1" x14ac:dyDescent="0.3">
      <c r="Q27" s="6">
        <v>53328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</row>
    <row r="28" spans="1:113" ht="16.5" customHeight="1" x14ac:dyDescent="0.3">
      <c r="Q28" s="6">
        <v>53693</v>
      </c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</row>
    <row r="29" spans="1:113" x14ac:dyDescent="0.3">
      <c r="Q29" s="6">
        <v>54058</v>
      </c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</row>
    <row r="30" spans="1:113" ht="15" thickBot="1" x14ac:dyDescent="0.35">
      <c r="Q30" s="6">
        <v>54424</v>
      </c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</row>
    <row r="31" spans="1:113" x14ac:dyDescent="0.3">
      <c r="Q31" s="5">
        <v>54789</v>
      </c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</row>
    <row r="32" spans="1:113" x14ac:dyDescent="0.3">
      <c r="Q32" s="6">
        <v>55154</v>
      </c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</row>
    <row r="33" spans="17:113" x14ac:dyDescent="0.3">
      <c r="Q33" s="6">
        <v>55519</v>
      </c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</row>
    <row r="34" spans="17:113" x14ac:dyDescent="0.3">
      <c r="Q34" s="6">
        <v>55885</v>
      </c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</row>
    <row r="35" spans="17:113" ht="15" thickBot="1" x14ac:dyDescent="0.35">
      <c r="Q35" s="6">
        <v>56250</v>
      </c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</row>
    <row r="36" spans="17:113" x14ac:dyDescent="0.3">
      <c r="Q36" s="5">
        <v>56615</v>
      </c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</row>
    <row r="37" spans="17:113" x14ac:dyDescent="0.3">
      <c r="Q37" s="6">
        <v>56980</v>
      </c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</row>
    <row r="38" spans="17:113" x14ac:dyDescent="0.3">
      <c r="Q38" s="6">
        <v>57346</v>
      </c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</row>
    <row r="39" spans="17:113" x14ac:dyDescent="0.3">
      <c r="Q39" s="6">
        <v>57711</v>
      </c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</row>
    <row r="40" spans="17:113" ht="15" thickBot="1" x14ac:dyDescent="0.35">
      <c r="Q40" s="6">
        <v>58076</v>
      </c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</row>
    <row r="41" spans="17:113" x14ac:dyDescent="0.3">
      <c r="Q41" s="5">
        <v>58441</v>
      </c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</row>
    <row r="42" spans="17:113" x14ac:dyDescent="0.3">
      <c r="Q42" s="6">
        <v>58807</v>
      </c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</row>
    <row r="43" spans="17:113" x14ac:dyDescent="0.3">
      <c r="Q43" s="6">
        <v>59172</v>
      </c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</row>
    <row r="44" spans="17:113" x14ac:dyDescent="0.3">
      <c r="Q44" s="6">
        <v>59537</v>
      </c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</row>
    <row r="45" spans="17:113" ht="15" thickBot="1" x14ac:dyDescent="0.35">
      <c r="Q45" s="6">
        <v>59902</v>
      </c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</row>
    <row r="46" spans="17:113" x14ac:dyDescent="0.3">
      <c r="Q46" s="5">
        <v>60268</v>
      </c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</row>
    <row r="47" spans="17:113" x14ac:dyDescent="0.3">
      <c r="Q47" s="6">
        <v>60633</v>
      </c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</row>
    <row r="48" spans="17:113" x14ac:dyDescent="0.3">
      <c r="Q48" s="6">
        <v>60998</v>
      </c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</row>
    <row r="49" spans="1:113" x14ac:dyDescent="0.3">
      <c r="Q49" s="6">
        <v>61363</v>
      </c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</row>
    <row r="50" spans="1:113" ht="15" thickBot="1" x14ac:dyDescent="0.35">
      <c r="Q50" s="6">
        <v>61729</v>
      </c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</row>
    <row r="51" spans="1:113" x14ac:dyDescent="0.3">
      <c r="Q51" s="5">
        <v>62094</v>
      </c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</row>
    <row r="52" spans="1:113" x14ac:dyDescent="0.3">
      <c r="Q52" s="6">
        <v>62459</v>
      </c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</row>
    <row r="53" spans="1:113" x14ac:dyDescent="0.3">
      <c r="Q53" s="6">
        <v>62824</v>
      </c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</row>
    <row r="54" spans="1:113" x14ac:dyDescent="0.3">
      <c r="Q54" s="6">
        <v>63190</v>
      </c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</row>
    <row r="55" spans="1:113" ht="15" thickBot="1" x14ac:dyDescent="0.35">
      <c r="Q55" s="6">
        <v>63555</v>
      </c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</row>
    <row r="56" spans="1:113" ht="15" thickBot="1" x14ac:dyDescent="0.35">
      <c r="Q56" s="7">
        <v>63920</v>
      </c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</row>
    <row r="57" spans="1:113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</row>
    <row r="58" spans="1:113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</row>
    <row r="59" spans="1:113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</row>
    <row r="60" spans="1:113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</row>
    <row r="61" spans="1:113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</row>
    <row r="62" spans="1:113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</row>
    <row r="63" spans="1:113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</row>
    <row r="64" spans="1:113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</row>
    <row r="65" spans="1:113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</row>
    <row r="66" spans="1:113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</row>
    <row r="67" spans="1:113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</row>
    <row r="68" spans="1:113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</row>
    <row r="69" spans="1:113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</row>
    <row r="70" spans="1:113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</row>
    <row r="71" spans="1:113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</row>
    <row r="72" spans="1:113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</row>
    <row r="73" spans="1:113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</row>
    <row r="74" spans="1:113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</row>
    <row r="75" spans="1:113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</row>
    <row r="76" spans="1:113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</row>
    <row r="77" spans="1:113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</row>
    <row r="78" spans="1:113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</row>
    <row r="79" spans="1:113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</row>
    <row r="80" spans="1:113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</row>
    <row r="81" spans="1:113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</row>
    <row r="82" spans="1:113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</row>
    <row r="83" spans="1:113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</row>
    <row r="84" spans="1:113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</row>
    <row r="85" spans="1:113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</row>
    <row r="86" spans="1:113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</row>
    <row r="87" spans="1:113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</row>
    <row r="88" spans="1:113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</row>
    <row r="89" spans="1:113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</row>
    <row r="90" spans="1:113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</row>
    <row r="91" spans="1:113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</row>
    <row r="92" spans="1:113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</row>
    <row r="93" spans="1:113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</row>
    <row r="94" spans="1:113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</row>
    <row r="95" spans="1:113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</row>
    <row r="96" spans="1:113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</row>
    <row r="97" spans="1:113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</row>
    <row r="98" spans="1:113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</row>
    <row r="99" spans="1:113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</row>
    <row r="100" spans="1:113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</row>
    <row r="101" spans="1:113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</row>
    <row r="102" spans="1:113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</row>
    <row r="103" spans="1:113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</row>
    <row r="104" spans="1:113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</row>
    <row r="105" spans="1:113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</row>
    <row r="106" spans="1:113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</row>
    <row r="107" spans="1:113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</row>
    <row r="108" spans="1:113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</row>
    <row r="109" spans="1:113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</row>
    <row r="110" spans="1:113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</row>
    <row r="111" spans="1:113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</row>
    <row r="112" spans="1:113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</row>
    <row r="113" spans="1:113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</row>
    <row r="114" spans="1:113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</row>
    <row r="115" spans="1:113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</row>
    <row r="116" spans="1:113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</row>
    <row r="117" spans="1:113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</row>
    <row r="118" spans="1:113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</row>
    <row r="119" spans="1:113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</row>
    <row r="120" spans="1:113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</row>
    <row r="121" spans="1:113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</row>
    <row r="122" spans="1:113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</row>
    <row r="123" spans="1:113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</row>
    <row r="124" spans="1:113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</row>
    <row r="125" spans="1:113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</row>
    <row r="126" spans="1:113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</row>
    <row r="127" spans="1:113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</row>
    <row r="128" spans="1:113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</row>
    <row r="129" spans="1:113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</row>
    <row r="130" spans="1:113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</row>
    <row r="131" spans="1:113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</row>
    <row r="132" spans="1:113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</row>
    <row r="133" spans="1:113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</row>
    <row r="134" spans="1:113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</row>
    <row r="135" spans="1:113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</row>
    <row r="136" spans="1:113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</row>
    <row r="137" spans="1:113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</row>
    <row r="138" spans="1:113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</row>
    <row r="139" spans="1:113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</row>
    <row r="140" spans="1:113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</row>
    <row r="141" spans="1:113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</row>
    <row r="142" spans="1:113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</row>
    <row r="143" spans="1:113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</row>
    <row r="144" spans="1:113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</row>
    <row r="145" spans="1:113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</row>
    <row r="146" spans="1:113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</row>
    <row r="147" spans="1:113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</row>
    <row r="148" spans="1:113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</row>
    <row r="149" spans="1:113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</row>
    <row r="150" spans="1:113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</row>
    <row r="151" spans="1:113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</row>
    <row r="152" spans="1:113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</row>
    <row r="153" spans="1:113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</row>
    <row r="154" spans="1:113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</row>
    <row r="155" spans="1:113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</row>
    <row r="156" spans="1:113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</row>
    <row r="157" spans="1:113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</row>
    <row r="158" spans="1:113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</row>
    <row r="159" spans="1:113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</row>
    <row r="160" spans="1:113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</row>
    <row r="161" spans="1:113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</row>
    <row r="162" spans="1:113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</row>
    <row r="163" spans="1:113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</row>
    <row r="164" spans="1:113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</row>
    <row r="165" spans="1:113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</row>
    <row r="166" spans="1:113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</row>
    <row r="167" spans="1:113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</row>
    <row r="168" spans="1:113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</row>
    <row r="169" spans="1:113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</row>
    <row r="170" spans="1:113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</row>
    <row r="171" spans="1:113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</row>
    <row r="172" spans="1:113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</row>
    <row r="173" spans="1:113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</row>
    <row r="174" spans="1:113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</row>
    <row r="175" spans="1:113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</row>
    <row r="176" spans="1:113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</row>
    <row r="177" spans="1:113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</row>
    <row r="178" spans="1:113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</row>
    <row r="179" spans="1:113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</row>
    <row r="180" spans="1:113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</row>
    <row r="181" spans="1:113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</row>
    <row r="182" spans="1:113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</row>
    <row r="183" spans="1:113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</row>
    <row r="184" spans="1:113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</row>
    <row r="185" spans="1:113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</row>
    <row r="186" spans="1:113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</row>
    <row r="187" spans="1:113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</row>
    <row r="188" spans="1:113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</row>
    <row r="189" spans="1:113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</row>
    <row r="190" spans="1:113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</row>
    <row r="191" spans="1:113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</row>
    <row r="192" spans="1:113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</row>
    <row r="193" spans="1:113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</row>
    <row r="194" spans="1:113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</row>
    <row r="195" spans="1:113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</row>
    <row r="196" spans="1:113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</row>
    <row r="197" spans="1:113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</row>
    <row r="198" spans="1:113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</row>
    <row r="199" spans="1:113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</row>
    <row r="200" spans="1:113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</row>
    <row r="201" spans="1:113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</row>
    <row r="202" spans="1:113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</row>
    <row r="203" spans="1:113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N7:N11">
    <sortCondition ref="N7:N11"/>
  </sortState>
  <mergeCells count="42">
    <mergeCell ref="C19:D19"/>
    <mergeCell ref="E19:G19"/>
    <mergeCell ref="E22:G22"/>
    <mergeCell ref="E23:G23"/>
    <mergeCell ref="C20:D20"/>
    <mergeCell ref="E20:G20"/>
    <mergeCell ref="C21:D21"/>
    <mergeCell ref="E21:G21"/>
    <mergeCell ref="C22:D22"/>
    <mergeCell ref="C23:D23"/>
    <mergeCell ref="S5:U5"/>
    <mergeCell ref="C17:D17"/>
    <mergeCell ref="E17:G17"/>
    <mergeCell ref="C18:D18"/>
    <mergeCell ref="E18:G18"/>
    <mergeCell ref="K5:O5"/>
    <mergeCell ref="C5:G5"/>
    <mergeCell ref="C6:D6"/>
    <mergeCell ref="E6:G6"/>
    <mergeCell ref="C7:D7"/>
    <mergeCell ref="E7:G7"/>
    <mergeCell ref="E8:G8"/>
    <mergeCell ref="C9:D9"/>
    <mergeCell ref="E9:G9"/>
    <mergeCell ref="S6:T6"/>
    <mergeCell ref="S7:T7"/>
    <mergeCell ref="AA1:AA2"/>
    <mergeCell ref="C16:D16"/>
    <mergeCell ref="E16:G16"/>
    <mergeCell ref="C13:D13"/>
    <mergeCell ref="E13:G13"/>
    <mergeCell ref="C14:D14"/>
    <mergeCell ref="E14:G14"/>
    <mergeCell ref="C15:D15"/>
    <mergeCell ref="E15:G15"/>
    <mergeCell ref="C10:D10"/>
    <mergeCell ref="E10:G10"/>
    <mergeCell ref="C11:D11"/>
    <mergeCell ref="E12:G12"/>
    <mergeCell ref="C12:D12"/>
    <mergeCell ref="E11:G11"/>
    <mergeCell ref="C8:D8"/>
  </mergeCells>
  <phoneticPr fontId="5" type="noConversion"/>
  <conditionalFormatting sqref="U7">
    <cfRule type="expression" dxfId="1105" priority="91">
      <formula>INDIRECT(_xludf.CELL("address"))="$AL$10:$AL$19"</formula>
    </cfRule>
  </conditionalFormatting>
  <conditionalFormatting sqref="U7">
    <cfRule type="containsText" dxfId="1104" priority="90" operator="containsText" text="T1">
      <formula>NOT(ISERROR(SEARCH("T1",U7)))</formula>
    </cfRule>
  </conditionalFormatting>
  <conditionalFormatting sqref="C7:G16">
    <cfRule type="notContainsBlanks" dxfId="1103" priority="93">
      <formula>LEN(TRIM(C7))&gt;0</formula>
    </cfRule>
  </conditionalFormatting>
  <conditionalFormatting sqref="U8:U9">
    <cfRule type="containsText" dxfId="1102" priority="63" operator="containsText" text="OT">
      <formula>NOT(ISERROR(SEARCH("OT",U8)))</formula>
    </cfRule>
    <cfRule type="containsText" dxfId="1101" priority="64" operator="containsText" text="SD">
      <formula>NOT(ISERROR(SEARCH("SD",U8)))</formula>
    </cfRule>
    <cfRule type="containsText" dxfId="1100" priority="65" operator="containsText" text="E3">
      <formula>NOT(ISERROR(SEARCH("E3",U8)))</formula>
    </cfRule>
    <cfRule type="containsText" dxfId="1099" priority="66" operator="containsText" text="E2">
      <formula>NOT(ISERROR(SEARCH("E2",U8)))</formula>
    </cfRule>
    <cfRule type="containsText" dxfId="1098" priority="67" operator="containsText" text="E1">
      <formula>NOT(ISERROR(SEARCH("E1",U8)))</formula>
    </cfRule>
    <cfRule type="containsText" dxfId="1097" priority="68" operator="containsText" text="DO">
      <formula>NOT(ISERROR(SEARCH("DO",U8)))</formula>
    </cfRule>
    <cfRule type="containsText" dxfId="1096" priority="69" operator="containsText" text="VA">
      <formula>NOT(ISERROR(SEARCH("VA",U8)))</formula>
    </cfRule>
    <cfRule type="containsText" dxfId="1095" priority="70" operator="containsText" text="T1">
      <formula>NOT(ISERROR(SEARCH("T1",U8)))</formula>
    </cfRule>
    <cfRule type="containsText" dxfId="1094" priority="71" operator="containsText" text="T2">
      <formula>NOT(ISERROR(SEARCH("T2",U8)))</formula>
    </cfRule>
    <cfRule type="containsText" dxfId="1093" priority="72" operator="containsText" text="T3">
      <formula>NOT(ISERROR(SEARCH("T3",U8)))</formula>
    </cfRule>
  </conditionalFormatting>
  <conditionalFormatting sqref="U10">
    <cfRule type="containsText" dxfId="1092" priority="53" operator="containsText" text="OT">
      <formula>NOT(ISERROR(SEARCH("OT",U10)))</formula>
    </cfRule>
    <cfRule type="containsText" dxfId="1091" priority="54" operator="containsText" text="SD">
      <formula>NOT(ISERROR(SEARCH("SD",U10)))</formula>
    </cfRule>
    <cfRule type="containsText" dxfId="1090" priority="55" operator="containsText" text="E3">
      <formula>NOT(ISERROR(SEARCH("E3",U10)))</formula>
    </cfRule>
    <cfRule type="containsText" dxfId="1089" priority="56" operator="containsText" text="E2">
      <formula>NOT(ISERROR(SEARCH("E2",U10)))</formula>
    </cfRule>
    <cfRule type="containsText" dxfId="1088" priority="57" operator="containsText" text="E1">
      <formula>NOT(ISERROR(SEARCH("E1",U10)))</formula>
    </cfRule>
    <cfRule type="containsText" dxfId="1087" priority="58" operator="containsText" text="DO">
      <formula>NOT(ISERROR(SEARCH("DO",U10)))</formula>
    </cfRule>
    <cfRule type="containsText" dxfId="1086" priority="59" operator="containsText" text="VA">
      <formula>NOT(ISERROR(SEARCH("VA",U10)))</formula>
    </cfRule>
    <cfRule type="containsText" dxfId="1085" priority="60" operator="containsText" text="T1">
      <formula>NOT(ISERROR(SEARCH("T1",U10)))</formula>
    </cfRule>
    <cfRule type="containsText" dxfId="1084" priority="61" operator="containsText" text="T2">
      <formula>NOT(ISERROR(SEARCH("T2",U10)))</formula>
    </cfRule>
    <cfRule type="containsText" dxfId="1083" priority="62" operator="containsText" text="T3">
      <formula>NOT(ISERROR(SEARCH("T3",U10)))</formula>
    </cfRule>
  </conditionalFormatting>
  <conditionalFormatting sqref="U18">
    <cfRule type="containsText" dxfId="1082" priority="43" operator="containsText" text="OT">
      <formula>NOT(ISERROR(SEARCH("OT",U18)))</formula>
    </cfRule>
    <cfRule type="containsText" dxfId="1081" priority="44" operator="containsText" text="SD">
      <formula>NOT(ISERROR(SEARCH("SD",U18)))</formula>
    </cfRule>
    <cfRule type="containsText" dxfId="1080" priority="45" operator="containsText" text="E3">
      <formula>NOT(ISERROR(SEARCH("E3",U18)))</formula>
    </cfRule>
    <cfRule type="containsText" dxfId="1079" priority="46" operator="containsText" text="E2">
      <formula>NOT(ISERROR(SEARCH("E2",U18)))</formula>
    </cfRule>
    <cfRule type="containsText" dxfId="1078" priority="47" operator="containsText" text="E1">
      <formula>NOT(ISERROR(SEARCH("E1",U18)))</formula>
    </cfRule>
    <cfRule type="containsText" dxfId="1077" priority="48" operator="containsText" text="DO">
      <formula>NOT(ISERROR(SEARCH("DO",U18)))</formula>
    </cfRule>
    <cfRule type="containsText" dxfId="1076" priority="49" operator="containsText" text="VA">
      <formula>NOT(ISERROR(SEARCH("VA",U18)))</formula>
    </cfRule>
    <cfRule type="containsText" dxfId="1075" priority="50" operator="containsText" text="T1">
      <formula>NOT(ISERROR(SEARCH("T1",U18)))</formula>
    </cfRule>
    <cfRule type="containsText" dxfId="1074" priority="51" operator="containsText" text="T2">
      <formula>NOT(ISERROR(SEARCH("T2",U18)))</formula>
    </cfRule>
    <cfRule type="containsText" dxfId="1073" priority="52" operator="containsText" text="T3">
      <formula>NOT(ISERROR(SEARCH("T3",U18)))</formula>
    </cfRule>
  </conditionalFormatting>
  <conditionalFormatting sqref="U11:U13">
    <cfRule type="containsText" dxfId="1072" priority="33" operator="containsText" text="OT">
      <formula>NOT(ISERROR(SEARCH("OT",U11)))</formula>
    </cfRule>
    <cfRule type="containsText" dxfId="1071" priority="34" operator="containsText" text="SD">
      <formula>NOT(ISERROR(SEARCH("SD",U11)))</formula>
    </cfRule>
    <cfRule type="containsText" dxfId="1070" priority="35" operator="containsText" text="E3">
      <formula>NOT(ISERROR(SEARCH("E3",U11)))</formula>
    </cfRule>
    <cfRule type="containsText" dxfId="1069" priority="36" operator="containsText" text="E2">
      <formula>NOT(ISERROR(SEARCH("E2",U11)))</formula>
    </cfRule>
    <cfRule type="containsText" dxfId="1068" priority="37" operator="containsText" text="E1">
      <formula>NOT(ISERROR(SEARCH("E1",U11)))</formula>
    </cfRule>
    <cfRule type="containsText" dxfId="1067" priority="38" operator="containsText" text="DO">
      <formula>NOT(ISERROR(SEARCH("DO",U11)))</formula>
    </cfRule>
    <cfRule type="containsText" dxfId="1066" priority="39" operator="containsText" text="VA">
      <formula>NOT(ISERROR(SEARCH("VA",U11)))</formula>
    </cfRule>
    <cfRule type="containsText" dxfId="1065" priority="40" operator="containsText" text="T1">
      <formula>NOT(ISERROR(SEARCH("T1",U11)))</formula>
    </cfRule>
    <cfRule type="containsText" dxfId="1064" priority="41" operator="containsText" text="T2">
      <formula>NOT(ISERROR(SEARCH("T2",U11)))</formula>
    </cfRule>
    <cfRule type="containsText" dxfId="1063" priority="42" operator="containsText" text="T3">
      <formula>NOT(ISERROR(SEARCH("T3",U11)))</formula>
    </cfRule>
  </conditionalFormatting>
  <conditionalFormatting sqref="U15:U16">
    <cfRule type="containsText" dxfId="1062" priority="23" operator="containsText" text="OT">
      <formula>NOT(ISERROR(SEARCH("OT",U15)))</formula>
    </cfRule>
    <cfRule type="containsText" dxfId="1061" priority="24" operator="containsText" text="SD">
      <formula>NOT(ISERROR(SEARCH("SD",U15)))</formula>
    </cfRule>
    <cfRule type="containsText" dxfId="1060" priority="25" operator="containsText" text="E3">
      <formula>NOT(ISERROR(SEARCH("E3",U15)))</formula>
    </cfRule>
    <cfRule type="containsText" dxfId="1059" priority="26" operator="containsText" text="E2">
      <formula>NOT(ISERROR(SEARCH("E2",U15)))</formula>
    </cfRule>
    <cfRule type="containsText" dxfId="1058" priority="27" operator="containsText" text="E1">
      <formula>NOT(ISERROR(SEARCH("E1",U15)))</formula>
    </cfRule>
    <cfRule type="containsText" dxfId="1057" priority="28" operator="containsText" text="DO">
      <formula>NOT(ISERROR(SEARCH("DO",U15)))</formula>
    </cfRule>
    <cfRule type="containsText" dxfId="1056" priority="29" operator="containsText" text="VA">
      <formula>NOT(ISERROR(SEARCH("VA",U15)))</formula>
    </cfRule>
    <cfRule type="containsText" dxfId="1055" priority="30" operator="containsText" text="T1">
      <formula>NOT(ISERROR(SEARCH("T1",U15)))</formula>
    </cfRule>
    <cfRule type="containsText" dxfId="1054" priority="31" operator="containsText" text="T2">
      <formula>NOT(ISERROR(SEARCH("T2",U15)))</formula>
    </cfRule>
    <cfRule type="containsText" dxfId="1053" priority="32" operator="containsText" text="T3">
      <formula>NOT(ISERROR(SEARCH("T3",U15)))</formula>
    </cfRule>
  </conditionalFormatting>
  <conditionalFormatting sqref="U17">
    <cfRule type="containsText" dxfId="1052" priority="1" operator="containsText" text="HB">
      <formula>NOT(ISERROR(SEARCH("HB",U17)))</formula>
    </cfRule>
    <cfRule type="containsText" dxfId="1051" priority="2" operator="containsText" text="OT">
      <formula>NOT(ISERROR(SEARCH("OT",U17)))</formula>
    </cfRule>
    <cfRule type="containsText" dxfId="1050" priority="3" operator="containsText" text="SD">
      <formula>NOT(ISERROR(SEARCH("SD",U17)))</formula>
    </cfRule>
    <cfRule type="containsText" dxfId="1049" priority="4" operator="containsText" text="E3">
      <formula>NOT(ISERROR(SEARCH("E3",U17)))</formula>
    </cfRule>
    <cfRule type="containsText" dxfId="1048" priority="5" operator="containsText" text="E2">
      <formula>NOT(ISERROR(SEARCH("E2",U17)))</formula>
    </cfRule>
    <cfRule type="containsText" dxfId="1047" priority="6" operator="containsText" text="E1">
      <formula>NOT(ISERROR(SEARCH("E1",U17)))</formula>
    </cfRule>
    <cfRule type="containsText" dxfId="1046" priority="7" operator="containsText" text="DO">
      <formula>NOT(ISERROR(SEARCH("DO",U17)))</formula>
    </cfRule>
    <cfRule type="containsText" dxfId="1045" priority="8" operator="containsText" text="VA">
      <formula>NOT(ISERROR(SEARCH("VA",U17)))</formula>
    </cfRule>
    <cfRule type="containsText" dxfId="1044" priority="9" operator="containsText" text="T1">
      <formula>NOT(ISERROR(SEARCH("T1",U17)))</formula>
    </cfRule>
    <cfRule type="containsText" dxfId="1043" priority="10" operator="containsText" text="T2">
      <formula>NOT(ISERROR(SEARCH("T2",U17)))</formula>
    </cfRule>
    <cfRule type="containsText" dxfId="1042" priority="11" operator="containsText" text="T3">
      <formula>NOT(ISERROR(SEARCH("T3",U17)))</formula>
    </cfRule>
  </conditionalFormatting>
  <dataValidations count="8">
    <dataValidation type="list" allowBlank="1" showInputMessage="1" showErrorMessage="1" sqref="U7" xr:uid="{1654A342-6914-4B5C-91D1-64C251280872}">
      <formula1>"T1,T2,T3,DO,VA,"</formula1>
    </dataValidation>
    <dataValidation type="list" allowBlank="1" showInputMessage="1" showErrorMessage="1" sqref="L9:L16" xr:uid="{E0F36AA5-B68A-4973-8CAD-B887319749A0}">
      <formula1>L9:L135</formula1>
    </dataValidation>
    <dataValidation type="list" allowBlank="1" showInputMessage="1" showErrorMessage="1" sqref="B7:B23" xr:uid="{5B659802-F88C-4A4D-A602-5176928A9280}">
      <formula1>$L$7:$L$27</formula1>
    </dataValidation>
    <dataValidation type="list" allowBlank="1" showInputMessage="1" showErrorMessage="1" sqref="B26:B42" xr:uid="{16C2C761-BF5F-4709-A7E8-C404264D4FF9}">
      <formula1>$L$7:$L$23</formula1>
    </dataValidation>
    <dataValidation type="list" allowBlank="1" showInputMessage="1" showErrorMessage="1" sqref="U15:U16 U18 U8:U13" xr:uid="{5BBD314C-3E53-4C01-8AC2-9BB5AB270D08}">
      <formula1>$U$7:$U$16</formula1>
    </dataValidation>
    <dataValidation type="list" allowBlank="1" showInputMessage="1" showErrorMessage="1" sqref="U17" xr:uid="{FFEA651C-6300-47DF-8462-EA6FFDC450E2}">
      <formula1>$U$7:$U$17</formula1>
    </dataValidation>
    <dataValidation type="list" allowBlank="1" showInputMessage="1" showErrorMessage="1" sqref="N7" xr:uid="{78253E8B-BBA0-4080-90D0-A42C715A6D7A}">
      <formula1>"07:00/16:00;10:00/19:00;13:00/22:00;22:00/07:00;"</formula1>
    </dataValidation>
    <dataValidation type="list" allowBlank="1" showInputMessage="1" showErrorMessage="1" sqref="L7" xr:uid="{1C038E88-6606-48B0-BA58-7519FAFF835A}">
      <formula1>"Danilo;Henrique;Renato;Rafael;Gustavo;Lucas;Matheus;Raysa;"</formula1>
    </dataValidation>
  </dataValidations>
  <pageMargins left="0.51181102362204722" right="0.51181102362204722" top="0.78740157480314965" bottom="0.78740157480314965" header="0.31496062992125984" footer="0.31496062992125984"/>
  <pageSetup scale="6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EEFB62-879D-4E24-B924-0E1BF74753FF}">
          <x14:formula1>
            <xm:f>Escala!$AG$21:$AG$21</xm:f>
          </x14:formula1>
          <xm:sqref>C17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1B91F-680C-41AA-8ED2-A1ACE8B5996D}">
  <sheetPr codeName="Planilha3">
    <tabColor theme="2" tint="-0.499984740745262"/>
  </sheetPr>
  <dimension ref="A1:AX52"/>
  <sheetViews>
    <sheetView zoomScale="70" zoomScaleNormal="70" workbookViewId="0">
      <selection activeCell="AY1" sqref="AY1"/>
    </sheetView>
  </sheetViews>
  <sheetFormatPr defaultColWidth="9.109375" defaultRowHeight="14.4" x14ac:dyDescent="0.3"/>
  <cols>
    <col min="1" max="1" width="9.109375" style="1" customWidth="1"/>
    <col min="2" max="2" width="15.6640625" style="1" bestFit="1" customWidth="1"/>
    <col min="3" max="3" width="3.77734375" style="1" bestFit="1" customWidth="1"/>
    <col min="4" max="11" width="4.21875" style="1" bestFit="1" customWidth="1"/>
    <col min="12" max="12" width="5" style="1" bestFit="1" customWidth="1"/>
    <col min="13" max="13" width="4.6640625" style="1" bestFit="1" customWidth="1"/>
    <col min="14" max="21" width="5" style="1" bestFit="1" customWidth="1"/>
    <col min="22" max="22" width="5.44140625" style="1" bestFit="1" customWidth="1"/>
    <col min="23" max="23" width="5" style="1" bestFit="1" customWidth="1"/>
    <col min="24" max="32" width="5.44140625" style="1" bestFit="1" customWidth="1"/>
    <col min="33" max="34" width="5" style="1" bestFit="1" customWidth="1"/>
    <col min="35" max="35" width="6.77734375" style="1" bestFit="1" customWidth="1"/>
    <col min="36" max="36" width="7.33203125" style="1" bestFit="1" customWidth="1"/>
    <col min="37" max="37" width="12.33203125" style="1" bestFit="1" customWidth="1"/>
    <col min="38" max="38" width="18" style="1" bestFit="1" customWidth="1"/>
    <col min="39" max="45" width="3" style="1" bestFit="1" customWidth="1"/>
    <col min="46" max="46" width="3.6640625" style="1" bestFit="1" customWidth="1"/>
    <col min="47" max="47" width="2.5546875" style="1" bestFit="1" customWidth="1"/>
    <col min="48" max="48" width="2.5546875" style="1" customWidth="1"/>
    <col min="49" max="49" width="2.44140625" style="1" hidden="1" customWidth="1"/>
    <col min="50" max="50" width="15" style="1" bestFit="1" customWidth="1"/>
    <col min="51" max="53" width="9.109375" style="1"/>
    <col min="54" max="57" width="0" style="1" hidden="1" customWidth="1"/>
    <col min="58" max="16384" width="9.109375" style="1"/>
  </cols>
  <sheetData>
    <row r="1" spans="1:50" customFormat="1" ht="36.6" x14ac:dyDescent="0.3">
      <c r="A1" s="39"/>
      <c r="B1" s="40"/>
      <c r="C1" s="14"/>
      <c r="D1" s="14"/>
      <c r="E1" s="14"/>
      <c r="F1" s="14"/>
      <c r="G1" s="14"/>
      <c r="H1" s="39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X1" s="14"/>
    </row>
    <row r="2" spans="1:50" customFormat="1" ht="63.45" customHeight="1" x14ac:dyDescent="0.3">
      <c r="A2" s="39"/>
      <c r="B2" s="14"/>
      <c r="C2" s="14"/>
      <c r="D2" s="14"/>
      <c r="E2" s="14"/>
      <c r="F2" s="14"/>
      <c r="G2" s="14"/>
      <c r="H2" s="39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X2" s="14"/>
    </row>
    <row r="3" spans="1:50" hidden="1" x14ac:dyDescent="0.3">
      <c r="B3" s="1" t="s">
        <v>26</v>
      </c>
      <c r="C3" s="1" t="s">
        <v>88</v>
      </c>
      <c r="D3" s="1">
        <v>0</v>
      </c>
      <c r="E3" s="1" t="s">
        <v>88</v>
      </c>
      <c r="F3" s="1">
        <v>0</v>
      </c>
      <c r="G3" s="1">
        <v>0</v>
      </c>
      <c r="H3" s="1" t="s">
        <v>88</v>
      </c>
      <c r="I3" s="1">
        <v>0</v>
      </c>
      <c r="J3" s="1">
        <v>0</v>
      </c>
      <c r="K3" s="1">
        <v>0</v>
      </c>
      <c r="L3" s="1">
        <v>0</v>
      </c>
      <c r="M3" s="1" t="s">
        <v>88</v>
      </c>
      <c r="N3" s="1">
        <v>0</v>
      </c>
      <c r="O3" s="1">
        <v>0</v>
      </c>
      <c r="P3" s="1" t="s">
        <v>88</v>
      </c>
      <c r="Q3" s="1">
        <v>0</v>
      </c>
      <c r="R3" s="1">
        <v>0</v>
      </c>
      <c r="S3" s="1">
        <v>0</v>
      </c>
      <c r="T3" s="1">
        <v>0</v>
      </c>
      <c r="U3" s="1" t="s">
        <v>88</v>
      </c>
      <c r="V3" s="1" t="s">
        <v>88</v>
      </c>
      <c r="W3" s="1">
        <v>0</v>
      </c>
      <c r="X3" s="1">
        <v>0</v>
      </c>
      <c r="Y3" s="1">
        <v>0</v>
      </c>
      <c r="Z3" s="1" t="s">
        <v>26</v>
      </c>
      <c r="AA3" s="1">
        <v>0</v>
      </c>
      <c r="AB3" s="1">
        <v>0</v>
      </c>
      <c r="AC3" s="1">
        <v>0</v>
      </c>
      <c r="AD3" s="1">
        <v>0</v>
      </c>
      <c r="AE3" s="1" t="s">
        <v>88</v>
      </c>
      <c r="AF3" s="1">
        <v>0</v>
      </c>
      <c r="AR3"/>
      <c r="AS3"/>
      <c r="AT3"/>
      <c r="AU3"/>
      <c r="AV3"/>
      <c r="AW3" cm="1">
        <f t="array" ref="AW3">ContarFE(B3:AF3)</f>
        <v>2</v>
      </c>
      <c r="AX3"/>
    </row>
    <row r="4" spans="1:50" x14ac:dyDescent="0.3">
      <c r="AR4"/>
      <c r="AS4"/>
      <c r="AT4"/>
      <c r="AU4"/>
      <c r="AV4"/>
      <c r="AW4"/>
      <c r="AX4"/>
    </row>
    <row r="5" spans="1:50" x14ac:dyDescent="0.3">
      <c r="AM5" s="52"/>
      <c r="AN5" s="52"/>
      <c r="AO5" s="52"/>
      <c r="AP5" s="52"/>
      <c r="AQ5" s="52"/>
      <c r="AR5"/>
      <c r="AS5"/>
      <c r="AT5"/>
      <c r="AU5"/>
      <c r="AV5"/>
      <c r="AW5"/>
      <c r="AX5"/>
    </row>
    <row r="6" spans="1:50" ht="15" thickBot="1" x14ac:dyDescent="0.35">
      <c r="AR6"/>
      <c r="AS6"/>
      <c r="AT6"/>
      <c r="AU6"/>
      <c r="AV6"/>
      <c r="AW6"/>
      <c r="AX6"/>
    </row>
    <row r="7" spans="1:50" ht="15" thickBot="1" x14ac:dyDescent="0.35">
      <c r="B7" s="53" t="s">
        <v>1</v>
      </c>
      <c r="C7" s="93" t="s">
        <v>89</v>
      </c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4"/>
      <c r="AR7"/>
      <c r="AS7"/>
      <c r="AT7"/>
      <c r="AU7"/>
      <c r="AV7"/>
      <c r="AW7"/>
      <c r="AX7"/>
    </row>
    <row r="8" spans="1:50" ht="15" thickBot="1" x14ac:dyDescent="0.35">
      <c r="B8" s="45" t="e" cm="1">
        <f t="array" ref="B8">IF(C7="Janeiro",#REF!,IF(C7="Fevereiro",#REF!,IF(C7="Março",#REF!,IF(C7="Abril",#REF!,IF(C7="Maio",#REF!,IF(C7="Junho",#REF!,IF(C7="Julho",#REF!,IF(C7="Agosto",#REF!,IF(C7="Setembro",#REF!,IF(C7="Outubro",#REF!,IF(C7="Novembro",#REF!,IF(C7="Dezembro",#REF!,""))))))))))))</f>
        <v>#REF!</v>
      </c>
      <c r="C8" s="46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8"/>
      <c r="AH8" s="54" t="s">
        <v>85</v>
      </c>
      <c r="AI8" s="54" t="s">
        <v>15</v>
      </c>
      <c r="AJ8" s="54" t="s">
        <v>40</v>
      </c>
      <c r="AK8" s="54" t="s">
        <v>41</v>
      </c>
      <c r="AL8" s="54" t="s">
        <v>86</v>
      </c>
      <c r="AR8"/>
      <c r="AS8"/>
      <c r="AT8"/>
      <c r="AU8"/>
      <c r="AV8"/>
      <c r="AW8"/>
      <c r="AX8"/>
    </row>
    <row r="9" spans="1:50" x14ac:dyDescent="0.3">
      <c r="B9" s="45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3"/>
      <c r="AH9" s="49">
        <f>COUNTA(C9:AG9)</f>
        <v>0</v>
      </c>
      <c r="AI9" s="41" cm="1">
        <f t="array" ref="AI9">ContarVA(C9:AG9)</f>
        <v>0</v>
      </c>
      <c r="AJ9" s="41" cm="1">
        <f t="array" ref="AJ9">ContarDO(C9:AG9)</f>
        <v>31</v>
      </c>
      <c r="AK9" s="41" cm="1">
        <f t="array" ref="AK9">ContarGrupos(C9:AG9)</f>
        <v>0</v>
      </c>
      <c r="AL9" s="55" cm="1">
        <f t="array" ref="AL9">ContarFerias(C9:AG9)</f>
        <v>0</v>
      </c>
      <c r="AM9" s="52"/>
      <c r="AN9" s="52"/>
      <c r="AO9" s="52"/>
      <c r="AP9" s="52"/>
      <c r="AQ9" s="52"/>
      <c r="AR9"/>
      <c r="AS9"/>
      <c r="AT9"/>
      <c r="AU9"/>
      <c r="AV9"/>
      <c r="AW9" cm="1">
        <f t="array" ref="AW9">ContarFerias(C9:AG9)</f>
        <v>0</v>
      </c>
      <c r="AX9"/>
    </row>
    <row r="10" spans="1:50" x14ac:dyDescent="0.3">
      <c r="B10" s="45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3"/>
      <c r="AH10" s="49">
        <f t="shared" ref="AH10:AH18" si="0">COUNTA(C10:AG10)</f>
        <v>0</v>
      </c>
      <c r="AI10" s="41" cm="1">
        <f t="array" ref="AI10">ContarVA(C10:AG10)</f>
        <v>0</v>
      </c>
      <c r="AJ10" s="41" cm="1">
        <f t="array" ref="AJ10">ContarDO(C10:AG10)</f>
        <v>31</v>
      </c>
      <c r="AK10" s="41" cm="1">
        <f t="array" ref="AK10">ContarGrupos(C10:AG10)</f>
        <v>0</v>
      </c>
      <c r="AL10" s="55" cm="1">
        <f t="array" ref="AL10">ContarFerias(C10:AG10)</f>
        <v>0</v>
      </c>
      <c r="AM10" s="52"/>
      <c r="AN10" s="52"/>
      <c r="AO10" s="52"/>
      <c r="AP10" s="52"/>
      <c r="AQ10" s="52"/>
      <c r="AR10"/>
      <c r="AS10"/>
      <c r="AT10"/>
      <c r="AU10"/>
      <c r="AV10"/>
      <c r="AW10" cm="1">
        <f t="array" ref="AW10">ContarFerias(C10:AG10)</f>
        <v>0</v>
      </c>
      <c r="AX10"/>
    </row>
    <row r="11" spans="1:50" x14ac:dyDescent="0.3">
      <c r="A11" s="52"/>
      <c r="B11" s="45"/>
      <c r="C11" s="52"/>
      <c r="D11" s="52"/>
      <c r="E11" s="52"/>
      <c r="F11" s="52"/>
      <c r="G11" s="52"/>
      <c r="H11" s="52"/>
      <c r="I11" s="41"/>
      <c r="J11" s="41"/>
      <c r="K11" s="41"/>
      <c r="L11" s="41"/>
      <c r="M11" s="41"/>
      <c r="N11" s="41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41"/>
      <c r="Z11" s="41"/>
      <c r="AA11" s="41"/>
      <c r="AB11" s="41"/>
      <c r="AC11" s="41"/>
      <c r="AD11" s="41"/>
      <c r="AE11" s="52"/>
      <c r="AF11" s="52"/>
      <c r="AG11" s="55"/>
      <c r="AH11" s="49">
        <f t="shared" si="0"/>
        <v>0</v>
      </c>
      <c r="AI11" s="41" cm="1">
        <f t="array" ref="AI11">ContarVA(C11:AG11)</f>
        <v>0</v>
      </c>
      <c r="AJ11" s="41" cm="1">
        <f t="array" ref="AJ11">ContarDO(C11:AG11)</f>
        <v>31</v>
      </c>
      <c r="AK11" s="41" cm="1">
        <f t="array" ref="AK11">ContarGrupos(C11:AG11)</f>
        <v>0</v>
      </c>
      <c r="AL11" s="55" cm="1">
        <f t="array" ref="AL11">ContarFerias(C11:AG11)</f>
        <v>0</v>
      </c>
      <c r="AM11" s="52"/>
      <c r="AN11" s="52"/>
      <c r="AO11" s="52"/>
      <c r="AP11" s="52"/>
      <c r="AQ11" s="52"/>
      <c r="AR11" s="3"/>
      <c r="AS11" s="3"/>
      <c r="AT11" s="3"/>
      <c r="AU11"/>
      <c r="AV11"/>
      <c r="AW11" cm="1">
        <f t="array" ref="AW11">ContarFerias(C11:AG11)</f>
        <v>0</v>
      </c>
      <c r="AX11" s="3"/>
    </row>
    <row r="12" spans="1:50" x14ac:dyDescent="0.3">
      <c r="B12" s="56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52"/>
      <c r="R12" s="52"/>
      <c r="S12" s="52"/>
      <c r="T12" s="52"/>
      <c r="U12" s="52"/>
      <c r="V12" s="52"/>
      <c r="W12" s="52"/>
      <c r="X12" s="52"/>
      <c r="Y12" s="41"/>
      <c r="Z12" s="41"/>
      <c r="AA12" s="41"/>
      <c r="AB12" s="41"/>
      <c r="AC12" s="41"/>
      <c r="AD12" s="41"/>
      <c r="AE12" s="52"/>
      <c r="AF12" s="52"/>
      <c r="AG12" s="55"/>
      <c r="AH12" s="49">
        <f t="shared" si="0"/>
        <v>0</v>
      </c>
      <c r="AI12" s="52"/>
      <c r="AJ12" s="41" cm="1">
        <f t="array" ref="AJ12">ContarDO(C12:AG12)</f>
        <v>31</v>
      </c>
      <c r="AK12" s="41" cm="1">
        <f t="array" ref="AK12">ContarGrupos(C12:AG12)</f>
        <v>0</v>
      </c>
      <c r="AL12" s="55" cm="1">
        <f t="array" ref="AL12">ContarFerias(C12:AG12)</f>
        <v>0</v>
      </c>
      <c r="AM12" s="52"/>
      <c r="AN12" s="52"/>
      <c r="AO12" s="52"/>
      <c r="AP12" s="52"/>
      <c r="AQ12" s="52"/>
      <c r="AR12" s="3"/>
      <c r="AS12" s="3"/>
      <c r="AT12" s="3"/>
      <c r="AU12"/>
      <c r="AV12"/>
      <c r="AX12" s="3"/>
    </row>
    <row r="13" spans="1:50" x14ac:dyDescent="0.3">
      <c r="B13" s="56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52"/>
      <c r="R13" s="52"/>
      <c r="S13" s="52"/>
      <c r="T13" s="52"/>
      <c r="U13" s="52"/>
      <c r="V13" s="52"/>
      <c r="W13" s="52"/>
      <c r="X13" s="52"/>
      <c r="Y13" s="41"/>
      <c r="Z13" s="41"/>
      <c r="AA13" s="41"/>
      <c r="AB13" s="41"/>
      <c r="AC13" s="41"/>
      <c r="AD13" s="41"/>
      <c r="AE13" s="52"/>
      <c r="AF13" s="52"/>
      <c r="AG13" s="55"/>
      <c r="AH13" s="49">
        <f t="shared" si="0"/>
        <v>0</v>
      </c>
      <c r="AI13" s="52"/>
      <c r="AJ13" s="41" cm="1">
        <f t="array" ref="AJ13">ContarDO(C13:AG13)</f>
        <v>31</v>
      </c>
      <c r="AK13" s="41" cm="1">
        <f t="array" ref="AK13">ContarGrupos(C13:AG13)</f>
        <v>0</v>
      </c>
      <c r="AL13" s="55" cm="1">
        <f t="array" ref="AL13">ContarFerias(C13:AG13)</f>
        <v>0</v>
      </c>
      <c r="AM13" s="52"/>
      <c r="AN13" s="52"/>
      <c r="AO13" s="52"/>
      <c r="AP13" s="52"/>
      <c r="AQ13" s="52"/>
      <c r="AR13" s="3"/>
      <c r="AS13"/>
      <c r="AT13"/>
      <c r="AU13"/>
      <c r="AV13"/>
      <c r="AX13" s="3"/>
    </row>
    <row r="14" spans="1:50" x14ac:dyDescent="0.3">
      <c r="B14" s="45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41"/>
      <c r="N14" s="41"/>
      <c r="O14" s="41"/>
      <c r="P14" s="41"/>
      <c r="Q14" s="52"/>
      <c r="R14" s="52"/>
      <c r="S14" s="52"/>
      <c r="T14" s="52"/>
      <c r="U14" s="52"/>
      <c r="V14" s="52"/>
      <c r="W14" s="52"/>
      <c r="X14" s="52"/>
      <c r="Y14" s="41"/>
      <c r="Z14" s="41"/>
      <c r="AA14" s="41"/>
      <c r="AB14" s="41"/>
      <c r="AC14" s="41"/>
      <c r="AD14" s="41"/>
      <c r="AE14" s="52"/>
      <c r="AF14" s="52"/>
      <c r="AG14" s="55"/>
      <c r="AH14" s="49">
        <f t="shared" si="0"/>
        <v>0</v>
      </c>
      <c r="AI14" s="52"/>
      <c r="AJ14" s="41" cm="1">
        <f t="array" ref="AJ14">ContarDO(C14:AG14)</f>
        <v>31</v>
      </c>
      <c r="AK14" s="41" cm="1">
        <f t="array" ref="AK14">ContarGrupos(C14:AG14)</f>
        <v>0</v>
      </c>
      <c r="AL14" s="55" cm="1">
        <f t="array" ref="AL14">ContarFerias(C14:AG14)</f>
        <v>0</v>
      </c>
      <c r="AM14" s="52"/>
      <c r="AN14" s="52"/>
      <c r="AO14" s="52"/>
      <c r="AP14" s="52"/>
      <c r="AQ14" s="52"/>
      <c r="AR14" s="3"/>
      <c r="AS14" s="3"/>
      <c r="AT14"/>
      <c r="AU14"/>
      <c r="AV14"/>
      <c r="AX14" s="3"/>
    </row>
    <row r="15" spans="1:50" x14ac:dyDescent="0.3">
      <c r="B15" s="45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52"/>
      <c r="R15" s="52"/>
      <c r="S15" s="52"/>
      <c r="T15" s="52"/>
      <c r="U15" s="52"/>
      <c r="V15" s="52"/>
      <c r="W15" s="52"/>
      <c r="X15" s="52"/>
      <c r="Y15" s="41"/>
      <c r="Z15" s="41"/>
      <c r="AA15" s="41"/>
      <c r="AB15" s="41"/>
      <c r="AC15" s="41"/>
      <c r="AD15" s="41"/>
      <c r="AE15" s="52"/>
      <c r="AF15" s="52"/>
      <c r="AG15" s="55"/>
      <c r="AH15" s="49">
        <f t="shared" si="0"/>
        <v>0</v>
      </c>
      <c r="AI15" s="52"/>
      <c r="AJ15" s="41" cm="1">
        <f t="array" ref="AJ15">ContarDO(C15:AG15)</f>
        <v>31</v>
      </c>
      <c r="AK15" s="41" cm="1">
        <f t="array" ref="AK15">ContarGrupos(C15:AG15)</f>
        <v>0</v>
      </c>
      <c r="AL15" s="55" cm="1">
        <f t="array" ref="AL15">ContarFerias(C15:AG15)</f>
        <v>0</v>
      </c>
      <c r="AM15" s="52"/>
      <c r="AR15"/>
      <c r="AS15"/>
      <c r="AT15"/>
      <c r="AU15"/>
      <c r="AV15"/>
      <c r="AX15" s="3"/>
    </row>
    <row r="16" spans="1:50" ht="25.5" customHeight="1" thickBot="1" x14ac:dyDescent="0.35">
      <c r="B16" s="57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58"/>
      <c r="R16" s="58"/>
      <c r="S16" s="58"/>
      <c r="T16" s="58"/>
      <c r="U16" s="58"/>
      <c r="V16" s="58"/>
      <c r="W16" s="58"/>
      <c r="X16" s="58"/>
      <c r="Y16" s="44"/>
      <c r="Z16" s="44"/>
      <c r="AA16" s="44"/>
      <c r="AB16" s="44"/>
      <c r="AC16" s="44"/>
      <c r="AD16" s="44"/>
      <c r="AE16" s="58"/>
      <c r="AF16" s="58"/>
      <c r="AG16" s="59"/>
      <c r="AH16" s="50">
        <f t="shared" si="0"/>
        <v>0</v>
      </c>
      <c r="AI16" s="58"/>
      <c r="AJ16" s="44" cm="1">
        <f t="array" ref="AJ16">ContarDO(C16:AG16)</f>
        <v>31</v>
      </c>
      <c r="AK16" s="44" cm="1">
        <f t="array" ref="AK16">ContarGrupos(C16:AG16)</f>
        <v>0</v>
      </c>
      <c r="AL16" s="59" cm="1">
        <f t="array" ref="AL16">ContarFerias(C16:AG16)</f>
        <v>0</v>
      </c>
      <c r="AM16" s="52"/>
      <c r="AR16"/>
      <c r="AS16"/>
      <c r="AT16"/>
      <c r="AU16"/>
      <c r="AV16"/>
      <c r="AX16" s="3"/>
    </row>
    <row r="17" spans="2:50" ht="23.55" hidden="1" customHeight="1" x14ac:dyDescent="0.3">
      <c r="B17" s="45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52"/>
      <c r="R17" s="52"/>
      <c r="S17" s="52"/>
      <c r="T17" s="52"/>
      <c r="U17" s="52"/>
      <c r="V17" s="52"/>
      <c r="W17" s="52"/>
      <c r="X17" s="52"/>
      <c r="Y17" s="41"/>
      <c r="Z17" s="41"/>
      <c r="AA17" s="41"/>
      <c r="AB17" s="41"/>
      <c r="AC17" s="41"/>
      <c r="AD17" s="41"/>
      <c r="AE17" s="52"/>
      <c r="AF17" s="52"/>
      <c r="AG17" s="52"/>
      <c r="AH17" s="49">
        <f t="shared" si="0"/>
        <v>0</v>
      </c>
      <c r="AI17" s="52"/>
      <c r="AJ17" s="41" cm="1">
        <f t="array" ref="AJ17">ContarDO(C17:AG17)</f>
        <v>31</v>
      </c>
      <c r="AK17" s="41" cm="1">
        <f t="array" ref="AK17">ContarGrupos(C17:AG17)</f>
        <v>0</v>
      </c>
      <c r="AL17" s="55" cm="1">
        <f t="array" ref="AL17">ContarFerias(C17:AG17)</f>
        <v>0</v>
      </c>
      <c r="AM17" s="52"/>
      <c r="AR17"/>
      <c r="AS17"/>
      <c r="AT17"/>
      <c r="AU17"/>
      <c r="AV17"/>
      <c r="AX17"/>
    </row>
    <row r="18" spans="2:50" ht="23.55" hidden="1" customHeight="1" thickBot="1" x14ac:dyDescent="0.35">
      <c r="B18" s="57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58"/>
      <c r="R18" s="58"/>
      <c r="S18" s="58"/>
      <c r="T18" s="58"/>
      <c r="U18" s="58"/>
      <c r="V18" s="58"/>
      <c r="W18" s="58"/>
      <c r="X18" s="58"/>
      <c r="Y18" s="44"/>
      <c r="Z18" s="44"/>
      <c r="AA18" s="44"/>
      <c r="AB18" s="44"/>
      <c r="AC18" s="44"/>
      <c r="AD18" s="44"/>
      <c r="AE18" s="58"/>
      <c r="AF18" s="58"/>
      <c r="AG18" s="58"/>
      <c r="AH18" s="50">
        <f t="shared" si="0"/>
        <v>0</v>
      </c>
      <c r="AI18" s="58"/>
      <c r="AJ18" s="44" cm="1">
        <f t="array" ref="AJ18">ContarDO(C18:AG18)</f>
        <v>31</v>
      </c>
      <c r="AK18" s="44" cm="1">
        <f t="array" ref="AK18">ContarGrupos(C18:AG18)</f>
        <v>0</v>
      </c>
      <c r="AL18" s="59" cm="1">
        <f t="array" ref="AL18">ContarFerias(C18:AG18)</f>
        <v>0</v>
      </c>
      <c r="AM18" s="52"/>
      <c r="AN18" s="52"/>
      <c r="AO18" s="52"/>
      <c r="AP18" s="52"/>
      <c r="AQ18" s="52"/>
      <c r="AR18" s="3"/>
      <c r="AS18" s="3"/>
      <c r="AT18"/>
      <c r="AU18"/>
      <c r="AV18"/>
      <c r="AX18"/>
    </row>
    <row r="19" spans="2:50" hidden="1" x14ac:dyDescent="0.3"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J19" s="52"/>
      <c r="AK19" s="52"/>
      <c r="AL19" s="52"/>
      <c r="AM19" s="52"/>
      <c r="AN19" s="52"/>
      <c r="AO19" s="52"/>
      <c r="AP19" s="52"/>
      <c r="AQ19" s="52"/>
      <c r="AR19" s="3"/>
      <c r="AS19" s="3"/>
      <c r="AT19" s="3"/>
      <c r="AU19" s="3"/>
      <c r="AV19" s="3"/>
      <c r="AX19"/>
    </row>
    <row r="20" spans="2:50" ht="15" hidden="1" thickBot="1" x14ac:dyDescent="0.35"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J20" s="52"/>
      <c r="AK20" s="52"/>
      <c r="AL20" s="52"/>
      <c r="AM20" s="52"/>
      <c r="AN20" s="52"/>
      <c r="AO20" s="52"/>
      <c r="AP20" s="52"/>
      <c r="AQ20" s="52"/>
      <c r="AR20" s="3"/>
      <c r="AS20" s="3"/>
      <c r="AT20" s="3"/>
      <c r="AU20" s="3"/>
      <c r="AV20" s="3"/>
      <c r="AX20"/>
    </row>
    <row r="21" spans="2:50" ht="16.2" thickBot="1" x14ac:dyDescent="0.35">
      <c r="B21" s="51" t="s">
        <v>1</v>
      </c>
      <c r="C21" s="52"/>
      <c r="D21" s="52"/>
      <c r="E21" s="52"/>
      <c r="J21" s="52"/>
      <c r="K21" s="106" t="s">
        <v>42</v>
      </c>
      <c r="L21" s="107"/>
      <c r="M21" s="107"/>
      <c r="N21" s="108"/>
      <c r="P21" s="52"/>
      <c r="Q21" s="52"/>
      <c r="R21" s="52"/>
      <c r="V21" s="106" t="s">
        <v>87</v>
      </c>
      <c r="W21" s="107"/>
      <c r="X21" s="108"/>
      <c r="AB21" s="52"/>
      <c r="AF21" s="106" t="s">
        <v>13</v>
      </c>
      <c r="AG21" s="107"/>
      <c r="AH21" s="108"/>
      <c r="AI21"/>
      <c r="AR21"/>
      <c r="AS21"/>
      <c r="AT21"/>
      <c r="AU21"/>
      <c r="AV21"/>
      <c r="AX21"/>
    </row>
    <row r="22" spans="2:50" x14ac:dyDescent="0.3">
      <c r="B22" s="104">
        <f>COUNTA(Configuração!L7:L22)</f>
        <v>8</v>
      </c>
      <c r="C22" s="52"/>
      <c r="D22" s="52"/>
      <c r="E22" s="52"/>
      <c r="J22" s="52"/>
      <c r="K22" s="95">
        <f>SUM(AW9:AW20)</f>
        <v>0</v>
      </c>
      <c r="L22" s="96"/>
      <c r="M22" s="96"/>
      <c r="N22" s="97"/>
      <c r="P22" s="52"/>
      <c r="Q22" s="52"/>
      <c r="R22" s="52"/>
      <c r="V22" s="95">
        <f>COUNTA(Escala!N5:N9)</f>
        <v>3</v>
      </c>
      <c r="W22" s="96"/>
      <c r="X22" s="97"/>
      <c r="AB22" s="52"/>
      <c r="AF22" s="95">
        <f>AW3</f>
        <v>2</v>
      </c>
      <c r="AG22" s="96"/>
      <c r="AH22" s="97"/>
      <c r="AI22"/>
      <c r="AR22"/>
      <c r="AS22"/>
      <c r="AT22"/>
      <c r="AU22"/>
      <c r="AV22"/>
      <c r="AX22"/>
    </row>
    <row r="23" spans="2:50" x14ac:dyDescent="0.3">
      <c r="B23" s="104"/>
      <c r="C23" s="52"/>
      <c r="D23" s="52"/>
      <c r="E23" s="52"/>
      <c r="J23" s="52"/>
      <c r="K23" s="98"/>
      <c r="L23" s="99"/>
      <c r="M23" s="99"/>
      <c r="N23" s="100"/>
      <c r="P23" s="52"/>
      <c r="Q23" s="52"/>
      <c r="R23" s="52"/>
      <c r="V23" s="98"/>
      <c r="W23" s="99"/>
      <c r="X23" s="100"/>
      <c r="AB23" s="52"/>
      <c r="AF23" s="98"/>
      <c r="AG23" s="99"/>
      <c r="AH23" s="100"/>
      <c r="AI23"/>
      <c r="AR23"/>
      <c r="AS23"/>
      <c r="AT23"/>
      <c r="AU23"/>
      <c r="AV23"/>
      <c r="AX23" s="3"/>
    </row>
    <row r="24" spans="2:50" x14ac:dyDescent="0.3">
      <c r="B24" s="104"/>
      <c r="C24" s="52"/>
      <c r="D24" s="52"/>
      <c r="E24" s="52"/>
      <c r="J24" s="52"/>
      <c r="K24" s="98"/>
      <c r="L24" s="99"/>
      <c r="M24" s="99"/>
      <c r="N24" s="100"/>
      <c r="P24" s="52"/>
      <c r="Q24" s="52"/>
      <c r="R24" s="52"/>
      <c r="V24" s="98"/>
      <c r="W24" s="99"/>
      <c r="X24" s="100"/>
      <c r="AF24" s="98"/>
      <c r="AG24" s="99"/>
      <c r="AH24" s="100"/>
      <c r="AI24" s="3"/>
      <c r="AJ24" s="52"/>
      <c r="AK24" s="52"/>
      <c r="AL24" s="52"/>
      <c r="AM24" s="52"/>
      <c r="AO24" s="52"/>
      <c r="AP24" s="52"/>
      <c r="AQ24" s="52"/>
      <c r="AR24" s="3"/>
      <c r="AS24" s="3"/>
      <c r="AT24" s="3"/>
      <c r="AU24" s="3"/>
      <c r="AV24" s="3"/>
      <c r="AX24" s="3"/>
    </row>
    <row r="25" spans="2:50" ht="15" thickBot="1" x14ac:dyDescent="0.35">
      <c r="B25" s="105"/>
      <c r="C25" s="52"/>
      <c r="D25" s="52"/>
      <c r="E25" s="52"/>
      <c r="J25" s="52"/>
      <c r="K25" s="101"/>
      <c r="L25" s="102"/>
      <c r="M25" s="102"/>
      <c r="N25" s="103"/>
      <c r="R25" s="52"/>
      <c r="V25" s="101"/>
      <c r="W25" s="102"/>
      <c r="X25" s="103"/>
      <c r="AF25" s="101"/>
      <c r="AG25" s="102"/>
      <c r="AH25" s="103"/>
      <c r="AI25" s="3"/>
      <c r="AJ25" s="52"/>
      <c r="AK25" s="52"/>
      <c r="AL25" s="52"/>
      <c r="AM25" s="52"/>
      <c r="AO25" s="52"/>
      <c r="AP25" s="52"/>
      <c r="AQ25" s="52"/>
      <c r="AR25" s="3"/>
      <c r="AS25" s="3"/>
      <c r="AT25" s="3"/>
      <c r="AU25" s="3"/>
      <c r="AV25" s="3"/>
      <c r="AX25" s="3"/>
    </row>
    <row r="26" spans="2:50" x14ac:dyDescent="0.3"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O26" s="52"/>
      <c r="AP26" s="52"/>
      <c r="AQ26" s="52"/>
      <c r="AR26" s="3"/>
      <c r="AS26" s="3"/>
      <c r="AT26" s="3"/>
      <c r="AU26" s="3"/>
      <c r="AV26" s="3"/>
      <c r="AX26" s="3"/>
    </row>
    <row r="27" spans="2:50" x14ac:dyDescent="0.3"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O27" s="52"/>
      <c r="AP27" s="52"/>
      <c r="AQ27" s="52"/>
      <c r="AR27" s="3"/>
      <c r="AS27" s="3"/>
      <c r="AT27" s="3"/>
      <c r="AU27" s="3"/>
      <c r="AV27" s="3"/>
      <c r="AX27" s="3"/>
    </row>
    <row r="28" spans="2:50" x14ac:dyDescent="0.3"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O28" s="52"/>
      <c r="AP28" s="52"/>
      <c r="AQ28" s="52"/>
      <c r="AR28" s="3"/>
      <c r="AS28" s="3"/>
      <c r="AT28" s="3"/>
      <c r="AU28" s="3"/>
      <c r="AV28" s="3"/>
      <c r="AX28" s="3"/>
    </row>
    <row r="29" spans="2:50" x14ac:dyDescent="0.3"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O29" s="52"/>
      <c r="AP29" s="52"/>
      <c r="AQ29" s="52"/>
      <c r="AR29" s="3"/>
      <c r="AS29" s="3"/>
      <c r="AT29" s="3"/>
      <c r="AU29" s="3"/>
      <c r="AV29" s="3"/>
      <c r="AX29"/>
    </row>
    <row r="30" spans="2:50" x14ac:dyDescent="0.3"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O30" s="52"/>
      <c r="AP30" s="52"/>
      <c r="AQ30" s="52"/>
      <c r="AR30" s="3"/>
      <c r="AS30" s="3"/>
      <c r="AT30" s="3"/>
      <c r="AU30" s="3"/>
      <c r="AV30" s="3"/>
      <c r="AX30"/>
    </row>
    <row r="31" spans="2:50" x14ac:dyDescent="0.3">
      <c r="P31" s="52"/>
      <c r="Q31" s="52"/>
      <c r="R31" s="52"/>
      <c r="S31" s="52"/>
      <c r="T31" s="52"/>
      <c r="U31" s="52"/>
      <c r="V31" s="52"/>
      <c r="W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O31" s="52"/>
      <c r="AP31" s="52"/>
      <c r="AQ31" s="52"/>
      <c r="AR31" s="3"/>
      <c r="AS31" s="3"/>
      <c r="AT31" s="3"/>
      <c r="AU31" s="3"/>
      <c r="AV31" s="3"/>
      <c r="AX31"/>
    </row>
    <row r="32" spans="2:50" x14ac:dyDescent="0.3">
      <c r="P32" s="52"/>
      <c r="Q32" s="52"/>
      <c r="R32" s="52"/>
      <c r="S32" s="52"/>
      <c r="T32" s="52"/>
      <c r="U32" s="52"/>
      <c r="V32" s="52"/>
      <c r="W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O32" s="52"/>
      <c r="AP32" s="52"/>
      <c r="AQ32" s="52"/>
      <c r="AR32" s="3"/>
      <c r="AS32" s="3"/>
      <c r="AT32" s="3"/>
      <c r="AU32" s="3"/>
      <c r="AV32" s="3"/>
      <c r="AX32"/>
    </row>
    <row r="33" spans="16:50" x14ac:dyDescent="0.3">
      <c r="P33" s="52"/>
      <c r="Q33" s="52"/>
      <c r="R33" s="52"/>
      <c r="S33" s="52"/>
      <c r="T33" s="52"/>
      <c r="U33" s="52"/>
      <c r="V33" s="52"/>
      <c r="W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O33" s="52"/>
      <c r="AP33" s="52"/>
      <c r="AQ33" s="52"/>
      <c r="AR33" s="3"/>
      <c r="AS33" s="3"/>
      <c r="AT33" s="3"/>
      <c r="AU33" s="3"/>
      <c r="AV33" s="3"/>
      <c r="AX33"/>
    </row>
    <row r="34" spans="16:50" x14ac:dyDescent="0.3">
      <c r="P34" s="52"/>
      <c r="Q34" s="52"/>
      <c r="R34" s="52"/>
      <c r="S34" s="52"/>
      <c r="T34" s="52"/>
      <c r="U34" s="52"/>
      <c r="V34" s="52"/>
      <c r="W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O34" s="52"/>
      <c r="AP34" s="52"/>
      <c r="AQ34" s="52"/>
      <c r="AR34" s="3"/>
      <c r="AS34" s="3"/>
      <c r="AT34" s="3"/>
      <c r="AU34" s="3"/>
      <c r="AV34" s="3"/>
      <c r="AX34"/>
    </row>
    <row r="35" spans="16:50" x14ac:dyDescent="0.3">
      <c r="P35" s="52"/>
      <c r="Q35" s="52"/>
      <c r="R35" s="52"/>
      <c r="S35" s="52"/>
      <c r="T35" s="52"/>
      <c r="U35" s="52"/>
      <c r="V35" s="52"/>
      <c r="W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O35" s="52"/>
      <c r="AP35" s="52"/>
      <c r="AQ35" s="52"/>
      <c r="AR35" s="3"/>
      <c r="AS35" s="3"/>
      <c r="AT35" s="3"/>
      <c r="AU35" s="3"/>
      <c r="AV35" s="3"/>
      <c r="AX35"/>
    </row>
    <row r="36" spans="16:50" x14ac:dyDescent="0.3">
      <c r="P36" s="52"/>
      <c r="Q36" s="52"/>
      <c r="R36" s="52"/>
      <c r="S36" s="52"/>
      <c r="T36" s="52"/>
      <c r="U36" s="52"/>
      <c r="V36" s="52"/>
      <c r="W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O36" s="52"/>
      <c r="AP36" s="52"/>
      <c r="AQ36" s="52"/>
      <c r="AR36" s="3"/>
      <c r="AS36" s="3"/>
      <c r="AT36" s="3"/>
      <c r="AU36" s="3"/>
      <c r="AV36" s="3"/>
      <c r="AX36"/>
    </row>
    <row r="37" spans="16:50" x14ac:dyDescent="0.3">
      <c r="AP37" s="52"/>
      <c r="AQ37" s="52"/>
      <c r="AR37" s="3"/>
      <c r="AS37" s="3"/>
      <c r="AT37" s="3"/>
      <c r="AU37" s="3"/>
      <c r="AV37" s="3"/>
      <c r="AX37" s="3"/>
    </row>
    <row r="38" spans="16:50" x14ac:dyDescent="0.3">
      <c r="AR38"/>
      <c r="AS38"/>
      <c r="AT38"/>
      <c r="AU38"/>
      <c r="AV38"/>
      <c r="AX38" s="3"/>
    </row>
    <row r="39" spans="16:50" x14ac:dyDescent="0.3">
      <c r="AR39"/>
      <c r="AS39"/>
      <c r="AT39"/>
      <c r="AU39"/>
      <c r="AV39"/>
      <c r="AX39" s="3"/>
    </row>
    <row r="40" spans="16:50" x14ac:dyDescent="0.3">
      <c r="AR40"/>
      <c r="AS40"/>
      <c r="AT40"/>
      <c r="AU40"/>
      <c r="AV40"/>
      <c r="AX40" s="3"/>
    </row>
    <row r="41" spans="16:50" x14ac:dyDescent="0.3">
      <c r="AR41"/>
      <c r="AS41"/>
      <c r="AT41"/>
      <c r="AU41"/>
      <c r="AV41"/>
      <c r="AX41" s="3"/>
    </row>
    <row r="42" spans="16:50" x14ac:dyDescent="0.3">
      <c r="AR42"/>
      <c r="AS42"/>
      <c r="AT42"/>
      <c r="AU42"/>
      <c r="AV42"/>
      <c r="AX42" s="3"/>
    </row>
    <row r="43" spans="16:50" x14ac:dyDescent="0.3">
      <c r="AR43"/>
      <c r="AS43"/>
      <c r="AT43"/>
      <c r="AU43"/>
      <c r="AV43"/>
      <c r="AX43"/>
    </row>
    <row r="44" spans="16:50" x14ac:dyDescent="0.3">
      <c r="AR44"/>
      <c r="AS44"/>
      <c r="AT44"/>
      <c r="AU44"/>
      <c r="AV44"/>
      <c r="AX44"/>
    </row>
    <row r="45" spans="16:50" x14ac:dyDescent="0.3">
      <c r="AR45"/>
      <c r="AS45"/>
      <c r="AT45"/>
      <c r="AU45"/>
      <c r="AV45"/>
      <c r="AX45"/>
    </row>
    <row r="46" spans="16:50" x14ac:dyDescent="0.3">
      <c r="AR46"/>
      <c r="AS46"/>
      <c r="AT46"/>
      <c r="AU46"/>
      <c r="AV46"/>
      <c r="AX46"/>
    </row>
    <row r="47" spans="16:50" x14ac:dyDescent="0.3">
      <c r="AR47"/>
      <c r="AS47"/>
      <c r="AT47"/>
      <c r="AU47"/>
      <c r="AV47"/>
      <c r="AW47" s="3"/>
      <c r="AX47" s="3"/>
    </row>
    <row r="48" spans="16:50" x14ac:dyDescent="0.3">
      <c r="AR48"/>
      <c r="AS48"/>
      <c r="AT48"/>
      <c r="AU48"/>
      <c r="AV48"/>
      <c r="AW48" s="3"/>
      <c r="AX48" s="3"/>
    </row>
    <row r="49" spans="1:50" x14ac:dyDescent="0.3">
      <c r="AR49"/>
      <c r="AS49"/>
      <c r="AT49"/>
      <c r="AU49"/>
      <c r="AV49"/>
      <c r="AW49" s="3"/>
      <c r="AX49" s="3"/>
    </row>
    <row r="50" spans="1:50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50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50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 s="3"/>
      <c r="AX52" s="3"/>
    </row>
  </sheetData>
  <mergeCells count="8">
    <mergeCell ref="C7:AG7"/>
    <mergeCell ref="V22:X25"/>
    <mergeCell ref="AF22:AH25"/>
    <mergeCell ref="B22:B25"/>
    <mergeCell ref="K22:N25"/>
    <mergeCell ref="K21:N21"/>
    <mergeCell ref="V21:X21"/>
    <mergeCell ref="AF21:AH21"/>
  </mergeCells>
  <conditionalFormatting sqref="AJ9:AJ18">
    <cfRule type="containsText" dxfId="1041" priority="6" operator="containsText" text="E3">
      <formula>NOT(ISERROR(SEARCH("E3",AJ9)))</formula>
    </cfRule>
    <cfRule type="containsText" dxfId="1040" priority="7" operator="containsText" text="E2">
      <formula>NOT(ISERROR(SEARCH("E2",AJ9)))</formula>
    </cfRule>
    <cfRule type="containsText" dxfId="1039" priority="8" operator="containsText" text="E1">
      <formula>NOT(ISERROR(SEARCH("E1",AJ9)))</formula>
    </cfRule>
    <cfRule type="containsText" dxfId="1038" priority="9" operator="containsText" text="VA">
      <formula>NOT(ISERROR(SEARCH("VA",AJ9)))</formula>
    </cfRule>
    <cfRule type="containsText" dxfId="1037" priority="10" operator="containsText" text="DO">
      <formula>NOT(ISERROR(SEARCH("DO",AJ9)))</formula>
    </cfRule>
  </conditionalFormatting>
  <conditionalFormatting sqref="AK9:AK18">
    <cfRule type="containsText" dxfId="1036" priority="1" operator="containsText" text="E3">
      <formula>NOT(ISERROR(SEARCH("E3",AK9)))</formula>
    </cfRule>
    <cfRule type="containsText" dxfId="1035" priority="2" operator="containsText" text="E2">
      <formula>NOT(ISERROR(SEARCH("E2",AK9)))</formula>
    </cfRule>
    <cfRule type="containsText" dxfId="1034" priority="3" operator="containsText" text="E1">
      <formula>NOT(ISERROR(SEARCH("E1",AK9)))</formula>
    </cfRule>
    <cfRule type="containsText" dxfId="1033" priority="4" operator="containsText" text="VA">
      <formula>NOT(ISERROR(SEARCH("VA",AK9)))</formula>
    </cfRule>
    <cfRule type="containsText" dxfId="1032" priority="5" operator="containsText" text="DO">
      <formula>NOT(ISERROR(SEARCH("DO",AK9)))</formula>
    </cfRule>
  </conditionalFormatting>
  <dataValidations count="2">
    <dataValidation type="list" allowBlank="1" showInputMessage="1" showErrorMessage="1" sqref="C7" xr:uid="{E329DB3E-FF0B-42EB-97B2-F3815C93B231}">
      <formula1>"Janeiro,Fevereiro,Março,Abril,Maio,Junho,Julho,Agosto,Setembro,Outubro,Novembro,Dezembro"</formula1>
    </dataValidation>
    <dataValidation type="list" allowBlank="1" showInputMessage="1" showErrorMessage="1" sqref="AN14:AN18" xr:uid="{97ED09EA-2728-4C20-A2BA-DA43A82A80F9}">
      <formula1>$AK$10:$AK$16</formula1>
    </dataValidation>
  </dataValidations>
  <pageMargins left="0.511811023622047" right="0.511811023622047" top="0.78740157480314998" bottom="0.78740157480314998" header="0.31496062992126" footer="0.31496062992126"/>
  <pageSetup paperSize="5" scale="60" orientation="landscape" horizontalDpi="300" verticalDpi="3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30CDC-9482-449C-A2A2-925C96C0256D}">
  <sheetPr codeName="Planilha161">
    <tabColor theme="9" tint="0.39997558519241921"/>
  </sheetPr>
  <dimension ref="A1:J40"/>
  <sheetViews>
    <sheetView workbookViewId="0">
      <selection activeCell="I34" sqref="I34"/>
    </sheetView>
  </sheetViews>
  <sheetFormatPr defaultColWidth="9.109375" defaultRowHeight="14.4" x14ac:dyDescent="0.3"/>
  <cols>
    <col min="1" max="3" width="8.6640625" customWidth="1"/>
    <col min="4" max="4" width="75" bestFit="1" customWidth="1"/>
    <col min="5" max="7" width="8.6640625"/>
    <col min="8" max="8" width="10.44140625" customWidth="1"/>
    <col min="9" max="9" width="85.44140625" bestFit="1" customWidth="1"/>
    <col min="10" max="10" width="8.6640625" customWidth="1"/>
    <col min="11" max="16384" width="9.109375" style="1"/>
  </cols>
  <sheetData>
    <row r="1" spans="1:10" x14ac:dyDescent="0.3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ht="9" customHeight="1" thickBot="1" x14ac:dyDescent="0.35">
      <c r="A2" s="1"/>
      <c r="B2" s="1"/>
      <c r="C2" s="1"/>
      <c r="D2" s="1"/>
      <c r="E2" s="1"/>
      <c r="F2" s="1"/>
      <c r="G2" s="1"/>
      <c r="H2" s="1"/>
      <c r="I2" s="1"/>
      <c r="J2" s="1"/>
    </row>
    <row r="3" spans="1:10" ht="34.5" customHeight="1" thickBot="1" x14ac:dyDescent="0.35">
      <c r="A3" s="109" t="s">
        <v>43</v>
      </c>
      <c r="B3" s="110"/>
      <c r="C3" s="110"/>
      <c r="D3" s="110"/>
      <c r="E3" s="110"/>
      <c r="F3" s="110"/>
      <c r="G3" s="110"/>
      <c r="H3" s="110"/>
      <c r="I3" s="110"/>
      <c r="J3" s="111"/>
    </row>
    <row r="4" spans="1:10" x14ac:dyDescent="0.3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 ht="15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</row>
    <row r="6" spans="1:10" x14ac:dyDescent="0.3">
      <c r="A6" s="1"/>
      <c r="B6" s="1"/>
      <c r="C6" s="1"/>
      <c r="D6" s="112" t="s">
        <v>44</v>
      </c>
      <c r="E6" s="1"/>
      <c r="F6" s="1"/>
      <c r="G6" s="1"/>
      <c r="H6" s="1"/>
      <c r="I6" s="112" t="s">
        <v>45</v>
      </c>
      <c r="J6" s="1"/>
    </row>
    <row r="7" spans="1:10" ht="15" thickBot="1" x14ac:dyDescent="0.35">
      <c r="A7" s="1"/>
      <c r="B7" s="1"/>
      <c r="C7" s="1"/>
      <c r="D7" s="113"/>
      <c r="E7" s="1"/>
      <c r="F7" s="1"/>
      <c r="G7" s="1"/>
      <c r="H7" s="1"/>
      <c r="I7" s="113"/>
      <c r="J7" s="1"/>
    </row>
    <row r="8" spans="1:10" ht="15" thickBot="1" x14ac:dyDescent="0.35">
      <c r="A8" s="1"/>
      <c r="B8" s="1"/>
      <c r="C8" s="1"/>
      <c r="D8" s="1"/>
      <c r="E8" s="1"/>
      <c r="F8" s="1"/>
      <c r="G8" s="1"/>
      <c r="H8" s="1"/>
      <c r="I8" s="1"/>
      <c r="J8" s="1"/>
    </row>
    <row r="9" spans="1:10" x14ac:dyDescent="0.3">
      <c r="A9" s="1"/>
      <c r="B9" s="1"/>
      <c r="C9" s="1"/>
      <c r="D9" s="112" t="s">
        <v>46</v>
      </c>
      <c r="E9" s="1"/>
      <c r="F9" s="1"/>
      <c r="G9" s="1"/>
      <c r="H9" s="1"/>
      <c r="I9" s="112" t="s">
        <v>47</v>
      </c>
      <c r="J9" s="1"/>
    </row>
    <row r="10" spans="1:10" ht="15" thickBot="1" x14ac:dyDescent="0.35">
      <c r="A10" s="1"/>
      <c r="B10" s="1"/>
      <c r="C10" s="1"/>
      <c r="D10" s="113"/>
      <c r="E10" s="1"/>
      <c r="F10" s="1"/>
      <c r="G10" s="1"/>
      <c r="H10" s="1"/>
      <c r="I10" s="113"/>
      <c r="J10" s="1"/>
    </row>
    <row r="11" spans="1:10" ht="15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0" ht="15" thickBot="1" x14ac:dyDescent="0.35">
      <c r="A12" s="1"/>
      <c r="B12" s="1"/>
      <c r="C12" s="1"/>
      <c r="D12" s="112" t="s">
        <v>48</v>
      </c>
      <c r="E12" s="1"/>
      <c r="F12" s="1"/>
      <c r="G12" s="1"/>
      <c r="H12" s="1"/>
      <c r="I12" s="1"/>
      <c r="J12" s="1"/>
    </row>
    <row r="13" spans="1:10" ht="15" thickBot="1" x14ac:dyDescent="0.35">
      <c r="A13" s="1"/>
      <c r="B13" s="1"/>
      <c r="C13" s="1"/>
      <c r="D13" s="113"/>
      <c r="E13" s="1"/>
      <c r="F13" s="1"/>
      <c r="G13" s="1"/>
      <c r="H13" s="1"/>
      <c r="I13" s="112" t="s">
        <v>49</v>
      </c>
      <c r="J13" s="1"/>
    </row>
    <row r="14" spans="1:10" ht="15" thickBot="1" x14ac:dyDescent="0.35">
      <c r="A14" s="1"/>
      <c r="B14" s="1"/>
      <c r="C14" s="1"/>
      <c r="D14" s="1"/>
      <c r="E14" s="1"/>
      <c r="F14" s="1"/>
      <c r="G14" s="1"/>
      <c r="H14" s="1"/>
      <c r="I14" s="113"/>
      <c r="J14" s="1"/>
    </row>
    <row r="15" spans="1:10" x14ac:dyDescent="0.3">
      <c r="A15" s="1"/>
      <c r="B15" s="1"/>
      <c r="C15" s="1"/>
      <c r="D15" s="112" t="s">
        <v>50</v>
      </c>
      <c r="E15" s="1"/>
      <c r="F15" s="1"/>
      <c r="G15" s="1"/>
      <c r="H15" s="1"/>
      <c r="I15" s="1"/>
      <c r="J15" s="1"/>
    </row>
    <row r="16" spans="1:10" ht="15" thickBot="1" x14ac:dyDescent="0.35">
      <c r="A16" s="1"/>
      <c r="B16" s="1"/>
      <c r="C16" s="1"/>
      <c r="D16" s="113"/>
      <c r="E16" s="1"/>
      <c r="F16" s="1"/>
      <c r="G16" s="1"/>
      <c r="H16" s="1"/>
      <c r="I16" s="1"/>
      <c r="J16" s="1"/>
    </row>
    <row r="17" spans="4:9" s="1" customFormat="1" ht="15" thickBot="1" x14ac:dyDescent="0.35"/>
    <row r="18" spans="4:9" s="1" customFormat="1" x14ac:dyDescent="0.3">
      <c r="D18" s="112" t="s">
        <v>51</v>
      </c>
      <c r="I18" s="112" t="s">
        <v>52</v>
      </c>
    </row>
    <row r="19" spans="4:9" s="1" customFormat="1" ht="15" thickBot="1" x14ac:dyDescent="0.35">
      <c r="D19" s="113"/>
      <c r="I19" s="113"/>
    </row>
    <row r="20" spans="4:9" s="1" customFormat="1" ht="15" thickBot="1" x14ac:dyDescent="0.35"/>
    <row r="21" spans="4:9" s="1" customFormat="1" x14ac:dyDescent="0.3">
      <c r="D21" s="112" t="s">
        <v>53</v>
      </c>
      <c r="I21" s="112" t="s">
        <v>54</v>
      </c>
    </row>
    <row r="22" spans="4:9" s="1" customFormat="1" ht="15" thickBot="1" x14ac:dyDescent="0.35">
      <c r="D22" s="113"/>
      <c r="I22" s="113"/>
    </row>
    <row r="23" spans="4:9" s="1" customFormat="1" ht="15" thickBot="1" x14ac:dyDescent="0.35"/>
    <row r="24" spans="4:9" s="1" customFormat="1" x14ac:dyDescent="0.3">
      <c r="D24" s="112" t="s">
        <v>55</v>
      </c>
      <c r="I24" s="112" t="s">
        <v>56</v>
      </c>
    </row>
    <row r="25" spans="4:9" s="1" customFormat="1" ht="15" thickBot="1" x14ac:dyDescent="0.35">
      <c r="D25" s="113"/>
      <c r="I25" s="113"/>
    </row>
    <row r="26" spans="4:9" s="1" customFormat="1" ht="15" thickBot="1" x14ac:dyDescent="0.35"/>
    <row r="27" spans="4:9" s="1" customFormat="1" x14ac:dyDescent="0.3">
      <c r="D27" s="112" t="s">
        <v>78</v>
      </c>
      <c r="I27" s="112" t="s">
        <v>79</v>
      </c>
    </row>
    <row r="28" spans="4:9" s="1" customFormat="1" ht="15" thickBot="1" x14ac:dyDescent="0.35">
      <c r="D28" s="113"/>
      <c r="I28" s="113"/>
    </row>
    <row r="29" spans="4:9" s="1" customFormat="1" ht="15" thickBot="1" x14ac:dyDescent="0.35"/>
    <row r="30" spans="4:9" s="1" customFormat="1" x14ac:dyDescent="0.3">
      <c r="D30" s="112" t="s">
        <v>77</v>
      </c>
    </row>
    <row r="31" spans="4:9" s="1" customFormat="1" ht="15" thickBot="1" x14ac:dyDescent="0.35">
      <c r="D31" s="113"/>
    </row>
    <row r="32" spans="4:9" s="1" customFormat="1" x14ac:dyDescent="0.3"/>
    <row r="33" s="1" customFormat="1" x14ac:dyDescent="0.3"/>
    <row r="34" s="1" customFormat="1" x14ac:dyDescent="0.3"/>
    <row r="35" s="1" customFormat="1" x14ac:dyDescent="0.3"/>
    <row r="36" s="1" customFormat="1" x14ac:dyDescent="0.3"/>
    <row r="37" s="1" customFormat="1" x14ac:dyDescent="0.3"/>
    <row r="38" s="1" customFormat="1" x14ac:dyDescent="0.3"/>
    <row r="39" s="1" customFormat="1" x14ac:dyDescent="0.3"/>
    <row r="40" s="1" customFormat="1" x14ac:dyDescent="0.3"/>
  </sheetData>
  <mergeCells count="17">
    <mergeCell ref="I27:I28"/>
    <mergeCell ref="D30:D31"/>
    <mergeCell ref="D27:D28"/>
    <mergeCell ref="D24:D25"/>
    <mergeCell ref="D18:D19"/>
    <mergeCell ref="I24:I25"/>
    <mergeCell ref="A3:J3"/>
    <mergeCell ref="D21:D22"/>
    <mergeCell ref="I18:I19"/>
    <mergeCell ref="I21:I22"/>
    <mergeCell ref="D6:D7"/>
    <mergeCell ref="D9:D10"/>
    <mergeCell ref="D12:D13"/>
    <mergeCell ref="D15:D16"/>
    <mergeCell ref="I6:I7"/>
    <mergeCell ref="I9:I10"/>
    <mergeCell ref="I13:I14"/>
  </mergeCells>
  <dataValidations count="1">
    <dataValidation type="list" allowBlank="1" showInputMessage="1" showErrorMessage="1" sqref="B28:B30" xr:uid="{D81D3451-1748-43C0-976F-F72E599CDCDB}">
      <formula1>$AL$10:$AL$17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27A04-C20F-47F0-8945-5D399A678945}">
  <sheetPr codeName="Planilha2"/>
  <dimension ref="A1:AF40"/>
  <sheetViews>
    <sheetView zoomScale="90" zoomScaleNormal="90" workbookViewId="0">
      <selection activeCell="AG1" sqref="AG1"/>
    </sheetView>
  </sheetViews>
  <sheetFormatPr defaultRowHeight="14.4" x14ac:dyDescent="0.3"/>
  <cols>
    <col min="1" max="1" width="11.77734375" bestFit="1" customWidth="1"/>
    <col min="2" max="32" width="6.6640625" customWidth="1"/>
  </cols>
  <sheetData>
    <row r="1" spans="1:32" ht="31.2" x14ac:dyDescent="0.3">
      <c r="A1" s="12"/>
      <c r="B1" s="12"/>
      <c r="C1" s="12"/>
      <c r="D1" s="12"/>
      <c r="E1" s="13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 ht="78.75" customHeight="1" x14ac:dyDescent="0.3">
      <c r="A2" s="14"/>
      <c r="B2" s="14"/>
      <c r="C2" s="14"/>
      <c r="D2" s="14"/>
      <c r="E2" s="1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32" ht="15" hidden="1" thickBot="1" x14ac:dyDescent="0.35">
      <c r="A3" s="8" t="s">
        <v>13</v>
      </c>
      <c r="B3" s="9" t="str">
        <f>IF(MONTH(D5)=5,"FE",IF(MONTH(D5)=1,"FE",""))</f>
        <v>FE</v>
      </c>
      <c r="C3" s="10" t="str">
        <f>IF(MONTH(D5)=11,"FE","")</f>
        <v/>
      </c>
      <c r="D3" s="10"/>
      <c r="E3" s="10" t="str">
        <f>IF(MONTH(D5)=3,"FE","")</f>
        <v/>
      </c>
      <c r="F3" s="10"/>
      <c r="G3" s="10"/>
      <c r="H3" s="10" t="str">
        <f>IF(MONTH(D5)=9,"FE","")</f>
        <v/>
      </c>
      <c r="I3" s="10"/>
      <c r="J3" s="10"/>
      <c r="K3" s="10"/>
      <c r="L3" s="10"/>
      <c r="M3" s="10" t="str">
        <f>IF(MONTH(D5)=10,"FE","")</f>
        <v/>
      </c>
      <c r="N3" s="10"/>
      <c r="O3" s="10"/>
      <c r="P3" s="10" t="str">
        <f>IF(MONTH(D5)=11,"FE","")</f>
        <v/>
      </c>
      <c r="Q3" s="10"/>
      <c r="R3" s="10"/>
      <c r="S3" s="10"/>
      <c r="T3" s="10"/>
      <c r="U3" s="10" t="str">
        <f>IF(MONTH(D5)=11,"FE","")</f>
        <v/>
      </c>
      <c r="V3" s="10" t="str">
        <f>IF(MONTH(D5)=4,"FE","")</f>
        <v/>
      </c>
      <c r="W3" s="10"/>
      <c r="X3" s="10"/>
      <c r="Y3" s="10"/>
      <c r="Z3" s="10" t="str">
        <f>IF(MONTH(D5)=12,"FE",IF(MONTH(D5)=1,"FE",""))</f>
        <v>FE</v>
      </c>
      <c r="AA3" s="10"/>
      <c r="AB3" s="10"/>
      <c r="AC3" s="10"/>
      <c r="AD3" s="10"/>
      <c r="AE3" s="10" t="str">
        <f>IF(MONTH(D5)=5,"FE","")</f>
        <v/>
      </c>
      <c r="AF3" s="11"/>
    </row>
    <row r="4" spans="1:3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3">
      <c r="A5" s="1"/>
      <c r="B5" s="72" t="s">
        <v>14</v>
      </c>
      <c r="C5" s="72"/>
      <c r="D5" s="73">
        <v>46023</v>
      </c>
      <c r="E5" s="73"/>
      <c r="F5" s="73"/>
      <c r="G5" s="73"/>
      <c r="H5" s="81" t="s">
        <v>68</v>
      </c>
      <c r="I5" s="82"/>
      <c r="J5" s="17" t="s">
        <v>67</v>
      </c>
      <c r="K5" s="1"/>
      <c r="L5" s="1"/>
      <c r="M5" s="76" t="s">
        <v>3</v>
      </c>
      <c r="N5" s="77" t="s">
        <v>17</v>
      </c>
      <c r="O5" s="77"/>
      <c r="P5" s="75" t="s">
        <v>83</v>
      </c>
      <c r="Q5" s="75"/>
      <c r="R5" s="75"/>
      <c r="S5" s="75" t="s">
        <v>7</v>
      </c>
      <c r="T5" s="75"/>
      <c r="U5" s="75"/>
      <c r="V5" s="75" t="s">
        <v>80</v>
      </c>
      <c r="W5" s="75"/>
      <c r="X5" s="75"/>
      <c r="Y5" s="1"/>
      <c r="Z5" s="80" t="s">
        <v>18</v>
      </c>
      <c r="AA5" s="80"/>
      <c r="AB5" s="80"/>
      <c r="AC5" s="80"/>
      <c r="AD5" s="80"/>
      <c r="AE5" s="1"/>
      <c r="AF5" s="1"/>
    </row>
    <row r="6" spans="1:32" x14ac:dyDescent="0.3">
      <c r="A6" s="1"/>
      <c r="B6" s="72" t="s">
        <v>19</v>
      </c>
      <c r="C6" s="72"/>
      <c r="D6" s="74">
        <f>EOMONTH(D5,0)</f>
        <v>46053</v>
      </c>
      <c r="E6" s="74"/>
      <c r="F6" s="74"/>
      <c r="G6" s="74"/>
      <c r="H6" s="81" t="s">
        <v>82</v>
      </c>
      <c r="I6" s="82"/>
      <c r="J6" s="18" t="s">
        <v>81</v>
      </c>
      <c r="K6" s="1"/>
      <c r="L6" s="1"/>
      <c r="M6" s="76"/>
      <c r="N6" s="77"/>
      <c r="O6" s="77"/>
      <c r="P6" s="75" t="s">
        <v>94</v>
      </c>
      <c r="Q6" s="75"/>
      <c r="R6" s="75"/>
      <c r="S6" s="75" t="s">
        <v>6</v>
      </c>
      <c r="T6" s="75"/>
      <c r="U6" s="75"/>
      <c r="V6" s="75"/>
      <c r="W6" s="75"/>
      <c r="X6" s="75"/>
      <c r="Y6" s="1"/>
      <c r="Z6" s="19" t="s">
        <v>22</v>
      </c>
      <c r="AA6" s="77" t="s">
        <v>23</v>
      </c>
      <c r="AB6" s="77"/>
      <c r="AC6" s="75" t="s">
        <v>83</v>
      </c>
      <c r="AD6" s="75"/>
      <c r="AE6" s="1"/>
      <c r="AF6" s="1"/>
    </row>
    <row r="7" spans="1:32" x14ac:dyDescent="0.3">
      <c r="A7" s="1"/>
      <c r="B7" s="72" t="s">
        <v>24</v>
      </c>
      <c r="C7" s="72"/>
      <c r="D7" s="75">
        <f>DAY(D6)</f>
        <v>31</v>
      </c>
      <c r="E7" s="75"/>
      <c r="F7" s="75"/>
      <c r="G7" s="75"/>
      <c r="H7" s="78" t="s">
        <v>25</v>
      </c>
      <c r="I7" s="79"/>
      <c r="J7" s="19" t="s">
        <v>26</v>
      </c>
      <c r="K7" s="1"/>
      <c r="L7" s="1"/>
      <c r="M7" s="76"/>
      <c r="N7" s="77"/>
      <c r="O7" s="77"/>
      <c r="P7" s="75" t="s">
        <v>27</v>
      </c>
      <c r="Q7" s="75"/>
      <c r="R7" s="75"/>
      <c r="S7" s="75" t="s">
        <v>73</v>
      </c>
      <c r="T7" s="75"/>
      <c r="U7" s="75"/>
      <c r="V7" s="75"/>
      <c r="W7" s="75"/>
      <c r="X7" s="75"/>
      <c r="Y7" s="1"/>
      <c r="Z7" s="19" t="s">
        <v>28</v>
      </c>
      <c r="AA7" s="77" t="s">
        <v>29</v>
      </c>
      <c r="AB7" s="77"/>
      <c r="AC7" s="75" t="s">
        <v>30</v>
      </c>
      <c r="AD7" s="75"/>
      <c r="AE7" s="1"/>
      <c r="AF7" s="1"/>
    </row>
    <row r="8" spans="1:32" x14ac:dyDescent="0.3">
      <c r="A8" s="1"/>
      <c r="B8" s="1"/>
      <c r="C8" s="1"/>
      <c r="D8" s="1"/>
      <c r="E8" s="1"/>
      <c r="F8" s="1"/>
      <c r="G8" s="1"/>
      <c r="H8" s="78" t="s">
        <v>15</v>
      </c>
      <c r="I8" s="79"/>
      <c r="J8" s="19" t="s">
        <v>16</v>
      </c>
      <c r="K8" s="1"/>
      <c r="L8" s="1"/>
      <c r="M8" s="19" t="s">
        <v>8</v>
      </c>
      <c r="N8" s="77" t="s">
        <v>29</v>
      </c>
      <c r="O8" s="77"/>
      <c r="P8" s="75" t="s">
        <v>30</v>
      </c>
      <c r="Q8" s="75"/>
      <c r="R8" s="75"/>
      <c r="S8" s="75" t="s">
        <v>9</v>
      </c>
      <c r="T8" s="75"/>
      <c r="U8" s="75"/>
      <c r="V8" s="75" t="s">
        <v>74</v>
      </c>
      <c r="W8" s="75"/>
      <c r="X8" s="75"/>
      <c r="Y8" s="1"/>
      <c r="Z8" s="19" t="s">
        <v>31</v>
      </c>
      <c r="AA8" s="77" t="s">
        <v>32</v>
      </c>
      <c r="AB8" s="77"/>
      <c r="AC8" s="75" t="s">
        <v>84</v>
      </c>
      <c r="AD8" s="75"/>
      <c r="AE8" s="1"/>
      <c r="AF8" s="1"/>
    </row>
    <row r="9" spans="1:32" x14ac:dyDescent="0.3">
      <c r="A9" s="1"/>
      <c r="B9" s="1"/>
      <c r="C9" s="1"/>
      <c r="D9" s="1"/>
      <c r="E9" s="1"/>
      <c r="F9" s="1"/>
      <c r="G9" s="1"/>
      <c r="H9" s="78" t="s">
        <v>20</v>
      </c>
      <c r="I9" s="79"/>
      <c r="J9" s="19" t="s">
        <v>21</v>
      </c>
      <c r="K9" s="1"/>
      <c r="L9" s="1"/>
      <c r="M9" s="19" t="s">
        <v>11</v>
      </c>
      <c r="N9" s="77" t="s">
        <v>33</v>
      </c>
      <c r="O9" s="77"/>
      <c r="P9" s="75" t="s">
        <v>84</v>
      </c>
      <c r="Q9" s="75"/>
      <c r="R9" s="75"/>
      <c r="S9" s="75" t="s">
        <v>10</v>
      </c>
      <c r="T9" s="75"/>
      <c r="U9" s="75"/>
      <c r="V9" s="75" t="s">
        <v>12</v>
      </c>
      <c r="W9" s="75"/>
      <c r="X9" s="75"/>
      <c r="Y9" s="1"/>
      <c r="Z9" s="1"/>
      <c r="AA9" s="1"/>
      <c r="AB9" s="1"/>
      <c r="AC9" s="1"/>
      <c r="AD9" s="1"/>
      <c r="AE9" s="1"/>
      <c r="AF9" s="1"/>
    </row>
    <row r="10" spans="1:32" x14ac:dyDescent="0.3">
      <c r="A10" s="1"/>
      <c r="B10" s="1"/>
      <c r="C10" s="1"/>
      <c r="D10" s="1"/>
      <c r="E10" s="1"/>
      <c r="F10" s="1"/>
      <c r="G10" s="1"/>
      <c r="H10" s="81" t="s">
        <v>70</v>
      </c>
      <c r="I10" s="82"/>
      <c r="J10" s="19" t="s">
        <v>69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22.8" x14ac:dyDescent="0.3">
      <c r="A14" s="69" t="s">
        <v>0</v>
      </c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1"/>
    </row>
    <row r="15" spans="1:32" x14ac:dyDescent="0.3">
      <c r="A15" s="114" t="s">
        <v>1</v>
      </c>
      <c r="B15" s="20" t="str">
        <f>UPPER(TEXT(B16,"[$]ddd"))</f>
        <v>QUI</v>
      </c>
      <c r="C15" s="20" t="str">
        <f t="shared" ref="C15:AF15" si="0">UPPER(TEXT(C16,"[$]ddd"))</f>
        <v>SEX</v>
      </c>
      <c r="D15" s="20" t="str">
        <f t="shared" si="0"/>
        <v>SÁB</v>
      </c>
      <c r="E15" s="20" t="str">
        <f t="shared" si="0"/>
        <v>DOM</v>
      </c>
      <c r="F15" s="20" t="str">
        <f t="shared" si="0"/>
        <v>SEG</v>
      </c>
      <c r="G15" s="20" t="str">
        <f t="shared" si="0"/>
        <v>TER</v>
      </c>
      <c r="H15" s="20" t="str">
        <f t="shared" si="0"/>
        <v>QUA</v>
      </c>
      <c r="I15" s="20" t="str">
        <f t="shared" si="0"/>
        <v>QUI</v>
      </c>
      <c r="J15" s="20" t="str">
        <f t="shared" si="0"/>
        <v>SEX</v>
      </c>
      <c r="K15" s="20" t="str">
        <f t="shared" si="0"/>
        <v>SÁB</v>
      </c>
      <c r="L15" s="20" t="str">
        <f t="shared" si="0"/>
        <v>DOM</v>
      </c>
      <c r="M15" s="20" t="str">
        <f t="shared" si="0"/>
        <v>SEG</v>
      </c>
      <c r="N15" s="20" t="str">
        <f t="shared" si="0"/>
        <v>TER</v>
      </c>
      <c r="O15" s="20" t="str">
        <f t="shared" si="0"/>
        <v>QUA</v>
      </c>
      <c r="P15" s="20" t="str">
        <f t="shared" si="0"/>
        <v>QUI</v>
      </c>
      <c r="Q15" s="20" t="str">
        <f t="shared" si="0"/>
        <v>SEX</v>
      </c>
      <c r="R15" s="20" t="str">
        <f t="shared" si="0"/>
        <v>SÁB</v>
      </c>
      <c r="S15" s="20" t="str">
        <f t="shared" si="0"/>
        <v>DOM</v>
      </c>
      <c r="T15" s="20" t="str">
        <f t="shared" si="0"/>
        <v>SEG</v>
      </c>
      <c r="U15" s="20" t="str">
        <f t="shared" si="0"/>
        <v>TER</v>
      </c>
      <c r="V15" s="20" t="str">
        <f t="shared" si="0"/>
        <v>QUA</v>
      </c>
      <c r="W15" s="20" t="str">
        <f t="shared" si="0"/>
        <v>QUI</v>
      </c>
      <c r="X15" s="20" t="str">
        <f t="shared" si="0"/>
        <v>SEX</v>
      </c>
      <c r="Y15" s="20" t="str">
        <f t="shared" si="0"/>
        <v>SÁB</v>
      </c>
      <c r="Z15" s="20" t="str">
        <f t="shared" si="0"/>
        <v>DOM</v>
      </c>
      <c r="AA15" s="20" t="str">
        <f t="shared" si="0"/>
        <v>SEG</v>
      </c>
      <c r="AB15" s="20" t="str">
        <f t="shared" si="0"/>
        <v>TER</v>
      </c>
      <c r="AC15" s="20" t="str">
        <f t="shared" si="0"/>
        <v>QUA</v>
      </c>
      <c r="AD15" s="20" t="str">
        <f t="shared" si="0"/>
        <v>QUI</v>
      </c>
      <c r="AE15" s="20" t="str">
        <f t="shared" si="0"/>
        <v>SEX</v>
      </c>
      <c r="AF15" s="21" t="str">
        <f t="shared" si="0"/>
        <v>SÁB</v>
      </c>
    </row>
    <row r="16" spans="1:32" x14ac:dyDescent="0.3">
      <c r="A16" s="115"/>
      <c r="B16" s="22">
        <f>D5</f>
        <v>46023</v>
      </c>
      <c r="C16" s="23">
        <f>B16+1</f>
        <v>46024</v>
      </c>
      <c r="D16" s="23">
        <f t="shared" ref="D16:AF16" si="1">C16+1</f>
        <v>46025</v>
      </c>
      <c r="E16" s="23">
        <f t="shared" si="1"/>
        <v>46026</v>
      </c>
      <c r="F16" s="23">
        <f t="shared" si="1"/>
        <v>46027</v>
      </c>
      <c r="G16" s="23">
        <f t="shared" si="1"/>
        <v>46028</v>
      </c>
      <c r="H16" s="23">
        <f t="shared" si="1"/>
        <v>46029</v>
      </c>
      <c r="I16" s="23">
        <f t="shared" si="1"/>
        <v>46030</v>
      </c>
      <c r="J16" s="23">
        <f t="shared" si="1"/>
        <v>46031</v>
      </c>
      <c r="K16" s="23">
        <f t="shared" si="1"/>
        <v>46032</v>
      </c>
      <c r="L16" s="23">
        <f t="shared" si="1"/>
        <v>46033</v>
      </c>
      <c r="M16" s="23">
        <f t="shared" si="1"/>
        <v>46034</v>
      </c>
      <c r="N16" s="23">
        <f t="shared" si="1"/>
        <v>46035</v>
      </c>
      <c r="O16" s="23">
        <f t="shared" si="1"/>
        <v>46036</v>
      </c>
      <c r="P16" s="23">
        <f t="shared" si="1"/>
        <v>46037</v>
      </c>
      <c r="Q16" s="23">
        <f t="shared" si="1"/>
        <v>46038</v>
      </c>
      <c r="R16" s="23">
        <f t="shared" si="1"/>
        <v>46039</v>
      </c>
      <c r="S16" s="23">
        <f t="shared" si="1"/>
        <v>46040</v>
      </c>
      <c r="T16" s="23">
        <f t="shared" si="1"/>
        <v>46041</v>
      </c>
      <c r="U16" s="23">
        <f t="shared" si="1"/>
        <v>46042</v>
      </c>
      <c r="V16" s="23">
        <f t="shared" si="1"/>
        <v>46043</v>
      </c>
      <c r="W16" s="23">
        <f t="shared" si="1"/>
        <v>46044</v>
      </c>
      <c r="X16" s="23">
        <f t="shared" si="1"/>
        <v>46045</v>
      </c>
      <c r="Y16" s="23">
        <f t="shared" si="1"/>
        <v>46046</v>
      </c>
      <c r="Z16" s="23">
        <f t="shared" si="1"/>
        <v>46047</v>
      </c>
      <c r="AA16" s="23">
        <f t="shared" si="1"/>
        <v>46048</v>
      </c>
      <c r="AB16" s="23">
        <f t="shared" si="1"/>
        <v>46049</v>
      </c>
      <c r="AC16" s="23">
        <f t="shared" si="1"/>
        <v>46050</v>
      </c>
      <c r="AD16" s="23">
        <f t="shared" si="1"/>
        <v>46051</v>
      </c>
      <c r="AE16" s="23">
        <f t="shared" si="1"/>
        <v>46052</v>
      </c>
      <c r="AF16" s="24">
        <f t="shared" si="1"/>
        <v>46053</v>
      </c>
    </row>
    <row r="17" spans="1:32" x14ac:dyDescent="0.3">
      <c r="A17" s="25" t="s">
        <v>7</v>
      </c>
      <c r="B17" s="19" t="s">
        <v>3</v>
      </c>
      <c r="C17" s="19" t="s">
        <v>3</v>
      </c>
      <c r="D17" s="19"/>
      <c r="E17" s="19"/>
      <c r="F17" s="19" t="s">
        <v>3</v>
      </c>
      <c r="G17" s="19" t="s">
        <v>3</v>
      </c>
      <c r="H17" s="19" t="s">
        <v>3</v>
      </c>
      <c r="I17" s="19" t="s">
        <v>3</v>
      </c>
      <c r="J17" s="19" t="s">
        <v>3</v>
      </c>
      <c r="K17" s="19"/>
      <c r="L17" s="19"/>
      <c r="M17" s="19" t="s">
        <v>3</v>
      </c>
      <c r="N17" s="19" t="s">
        <v>3</v>
      </c>
      <c r="O17" s="19" t="s">
        <v>3</v>
      </c>
      <c r="P17" s="19" t="s">
        <v>3</v>
      </c>
      <c r="Q17" s="19" t="s">
        <v>3</v>
      </c>
      <c r="R17" s="19"/>
      <c r="S17" s="19"/>
      <c r="T17" s="19" t="s">
        <v>3</v>
      </c>
      <c r="U17" s="19" t="s">
        <v>3</v>
      </c>
      <c r="V17" s="19" t="s">
        <v>3</v>
      </c>
      <c r="W17" s="19" t="s">
        <v>3</v>
      </c>
      <c r="X17" s="19" t="s">
        <v>3</v>
      </c>
      <c r="Y17" s="19"/>
      <c r="Z17" s="19"/>
      <c r="AA17" s="19" t="s">
        <v>3</v>
      </c>
      <c r="AB17" s="19" t="s">
        <v>3</v>
      </c>
      <c r="AC17" s="19" t="s">
        <v>3</v>
      </c>
      <c r="AD17" s="19" t="s">
        <v>3</v>
      </c>
      <c r="AE17" s="19" t="s">
        <v>3</v>
      </c>
      <c r="AF17" s="26"/>
    </row>
    <row r="18" spans="1:32" x14ac:dyDescent="0.3">
      <c r="A18" s="25" t="s">
        <v>80</v>
      </c>
      <c r="B18" s="19" t="s">
        <v>3</v>
      </c>
      <c r="C18" s="19" t="s">
        <v>3</v>
      </c>
      <c r="D18" s="19"/>
      <c r="E18" s="19"/>
      <c r="F18" s="19" t="s">
        <v>3</v>
      </c>
      <c r="G18" s="19" t="s">
        <v>3</v>
      </c>
      <c r="H18" s="19" t="s">
        <v>3</v>
      </c>
      <c r="I18" s="19" t="s">
        <v>3</v>
      </c>
      <c r="J18" s="19" t="s">
        <v>3</v>
      </c>
      <c r="K18" s="19"/>
      <c r="L18" s="19"/>
      <c r="M18" s="19" t="s">
        <v>3</v>
      </c>
      <c r="N18" s="19" t="s">
        <v>3</v>
      </c>
      <c r="O18" s="19" t="s">
        <v>3</v>
      </c>
      <c r="P18" s="19" t="s">
        <v>3</v>
      </c>
      <c r="Q18" s="19" t="s">
        <v>3</v>
      </c>
      <c r="R18" s="19"/>
      <c r="S18" s="19"/>
      <c r="T18" s="19" t="s">
        <v>3</v>
      </c>
      <c r="U18" s="19" t="s">
        <v>3</v>
      </c>
      <c r="V18" s="19" t="s">
        <v>3</v>
      </c>
      <c r="W18" s="19" t="s">
        <v>3</v>
      </c>
      <c r="X18" s="19" t="s">
        <v>3</v>
      </c>
      <c r="Y18" s="19"/>
      <c r="Z18" s="19"/>
      <c r="AA18" s="19" t="s">
        <v>3</v>
      </c>
      <c r="AB18" s="19" t="s">
        <v>3</v>
      </c>
      <c r="AC18" s="19" t="s">
        <v>3</v>
      </c>
      <c r="AD18" s="19" t="s">
        <v>3</v>
      </c>
      <c r="AE18" s="19" t="s">
        <v>3</v>
      </c>
      <c r="AF18" s="26"/>
    </row>
    <row r="19" spans="1:32" x14ac:dyDescent="0.3">
      <c r="A19" s="25" t="s">
        <v>6</v>
      </c>
      <c r="B19" s="19" t="s">
        <v>3</v>
      </c>
      <c r="C19" s="19" t="s">
        <v>3</v>
      </c>
      <c r="D19" s="19"/>
      <c r="E19" s="19"/>
      <c r="F19" s="19" t="s">
        <v>3</v>
      </c>
      <c r="G19" s="19" t="s">
        <v>3</v>
      </c>
      <c r="H19" s="19" t="s">
        <v>3</v>
      </c>
      <c r="I19" s="19" t="s">
        <v>3</v>
      </c>
      <c r="J19" s="19" t="s">
        <v>3</v>
      </c>
      <c r="K19" s="19"/>
      <c r="L19" s="19"/>
      <c r="M19" s="19" t="s">
        <v>3</v>
      </c>
      <c r="N19" s="19" t="s">
        <v>3</v>
      </c>
      <c r="O19" s="19" t="s">
        <v>3</v>
      </c>
      <c r="P19" s="19" t="s">
        <v>3</v>
      </c>
      <c r="Q19" s="19" t="s">
        <v>3</v>
      </c>
      <c r="R19" s="19"/>
      <c r="S19" s="19"/>
      <c r="T19" s="19" t="s">
        <v>3</v>
      </c>
      <c r="U19" s="19" t="s">
        <v>3</v>
      </c>
      <c r="V19" s="19" t="s">
        <v>3</v>
      </c>
      <c r="W19" s="19" t="s">
        <v>3</v>
      </c>
      <c r="X19" s="19" t="s">
        <v>3</v>
      </c>
      <c r="Y19" s="19"/>
      <c r="Z19" s="19"/>
      <c r="AA19" s="19" t="s">
        <v>3</v>
      </c>
      <c r="AB19" s="19" t="s">
        <v>3</v>
      </c>
      <c r="AC19" s="19" t="s">
        <v>3</v>
      </c>
      <c r="AD19" s="19" t="s">
        <v>3</v>
      </c>
      <c r="AE19" s="19" t="s">
        <v>3</v>
      </c>
      <c r="AF19" s="26"/>
    </row>
    <row r="20" spans="1:32" x14ac:dyDescent="0.3">
      <c r="A20" s="25" t="s">
        <v>73</v>
      </c>
      <c r="B20" s="19" t="s">
        <v>3</v>
      </c>
      <c r="C20" s="19" t="s">
        <v>3</v>
      </c>
      <c r="D20" s="19"/>
      <c r="E20" s="19"/>
      <c r="F20" s="19" t="s">
        <v>3</v>
      </c>
      <c r="G20" s="19" t="s">
        <v>3</v>
      </c>
      <c r="H20" s="19" t="s">
        <v>3</v>
      </c>
      <c r="I20" s="19" t="s">
        <v>3</v>
      </c>
      <c r="J20" s="19" t="s">
        <v>3</v>
      </c>
      <c r="K20" s="19"/>
      <c r="L20" s="19"/>
      <c r="M20" s="19" t="s">
        <v>3</v>
      </c>
      <c r="N20" s="19" t="s">
        <v>3</v>
      </c>
      <c r="O20" s="19" t="s">
        <v>3</v>
      </c>
      <c r="P20" s="19" t="s">
        <v>3</v>
      </c>
      <c r="Q20" s="19" t="s">
        <v>3</v>
      </c>
      <c r="R20" s="19"/>
      <c r="S20" s="19"/>
      <c r="T20" s="19" t="s">
        <v>3</v>
      </c>
      <c r="U20" s="19" t="s">
        <v>3</v>
      </c>
      <c r="V20" s="19" t="s">
        <v>3</v>
      </c>
      <c r="W20" s="19" t="s">
        <v>3</v>
      </c>
      <c r="X20" s="19" t="s">
        <v>3</v>
      </c>
      <c r="Y20" s="19"/>
      <c r="Z20" s="19"/>
      <c r="AA20" s="19" t="s">
        <v>3</v>
      </c>
      <c r="AB20" s="19" t="s">
        <v>3</v>
      </c>
      <c r="AC20" s="19" t="s">
        <v>3</v>
      </c>
      <c r="AD20" s="19" t="s">
        <v>3</v>
      </c>
      <c r="AE20" s="19" t="s">
        <v>3</v>
      </c>
      <c r="AF20" s="26"/>
    </row>
    <row r="21" spans="1:32" x14ac:dyDescent="0.3">
      <c r="A21" s="25" t="s">
        <v>9</v>
      </c>
      <c r="B21" s="19" t="s">
        <v>8</v>
      </c>
      <c r="C21" s="19" t="s">
        <v>8</v>
      </c>
      <c r="D21" s="19"/>
      <c r="E21" s="19"/>
      <c r="F21" s="19" t="s">
        <v>8</v>
      </c>
      <c r="G21" s="19" t="s">
        <v>8</v>
      </c>
      <c r="H21" s="19" t="s">
        <v>8</v>
      </c>
      <c r="I21" s="19" t="s">
        <v>8</v>
      </c>
      <c r="J21" s="19" t="s">
        <v>8</v>
      </c>
      <c r="K21" s="19"/>
      <c r="L21" s="19"/>
      <c r="M21" s="19" t="s">
        <v>8</v>
      </c>
      <c r="N21" s="19" t="s">
        <v>8</v>
      </c>
      <c r="O21" s="19" t="s">
        <v>8</v>
      </c>
      <c r="P21" s="19" t="s">
        <v>8</v>
      </c>
      <c r="Q21" s="19" t="s">
        <v>8</v>
      </c>
      <c r="R21" s="19"/>
      <c r="S21" s="19"/>
      <c r="T21" s="19" t="s">
        <v>8</v>
      </c>
      <c r="U21" s="19" t="s">
        <v>8</v>
      </c>
      <c r="V21" s="19" t="s">
        <v>8</v>
      </c>
      <c r="W21" s="19" t="s">
        <v>8</v>
      </c>
      <c r="X21" s="19" t="s">
        <v>8</v>
      </c>
      <c r="Y21" s="19"/>
      <c r="Z21" s="19"/>
      <c r="AA21" s="19" t="s">
        <v>8</v>
      </c>
      <c r="AB21" s="19" t="s">
        <v>8</v>
      </c>
      <c r="AC21" s="19" t="s">
        <v>8</v>
      </c>
      <c r="AD21" s="19" t="s">
        <v>8</v>
      </c>
      <c r="AE21" s="19" t="s">
        <v>8</v>
      </c>
      <c r="AF21" s="26"/>
    </row>
    <row r="22" spans="1:32" x14ac:dyDescent="0.3">
      <c r="A22" s="25" t="s">
        <v>74</v>
      </c>
      <c r="B22" s="19" t="s">
        <v>8</v>
      </c>
      <c r="C22" s="19" t="s">
        <v>8</v>
      </c>
      <c r="D22" s="19"/>
      <c r="E22" s="19"/>
      <c r="F22" s="19" t="s">
        <v>8</v>
      </c>
      <c r="G22" s="19" t="s">
        <v>8</v>
      </c>
      <c r="H22" s="19" t="s">
        <v>8</v>
      </c>
      <c r="I22" s="19" t="s">
        <v>8</v>
      </c>
      <c r="J22" s="19" t="s">
        <v>8</v>
      </c>
      <c r="K22" s="19"/>
      <c r="L22" s="19"/>
      <c r="M22" s="19" t="s">
        <v>8</v>
      </c>
      <c r="N22" s="19" t="s">
        <v>8</v>
      </c>
      <c r="O22" s="19" t="s">
        <v>8</v>
      </c>
      <c r="P22" s="19" t="s">
        <v>8</v>
      </c>
      <c r="Q22" s="19" t="s">
        <v>8</v>
      </c>
      <c r="R22" s="19"/>
      <c r="S22" s="19"/>
      <c r="T22" s="19" t="s">
        <v>8</v>
      </c>
      <c r="U22" s="19" t="s">
        <v>8</v>
      </c>
      <c r="V22" s="19" t="s">
        <v>8</v>
      </c>
      <c r="W22" s="19" t="s">
        <v>8</v>
      </c>
      <c r="X22" s="19" t="s">
        <v>8</v>
      </c>
      <c r="Y22" s="19"/>
      <c r="Z22" s="19"/>
      <c r="AA22" s="19" t="s">
        <v>8</v>
      </c>
      <c r="AB22" s="19" t="s">
        <v>8</v>
      </c>
      <c r="AC22" s="19" t="s">
        <v>8</v>
      </c>
      <c r="AD22" s="19" t="s">
        <v>8</v>
      </c>
      <c r="AE22" s="19" t="s">
        <v>8</v>
      </c>
      <c r="AF22" s="26"/>
    </row>
    <row r="23" spans="1:32" x14ac:dyDescent="0.3">
      <c r="A23" s="25" t="s">
        <v>10</v>
      </c>
      <c r="B23" s="19" t="s">
        <v>11</v>
      </c>
      <c r="C23" s="19" t="s">
        <v>11</v>
      </c>
      <c r="D23" s="19"/>
      <c r="E23" s="19"/>
      <c r="F23" s="19" t="s">
        <v>11</v>
      </c>
      <c r="G23" s="19" t="s">
        <v>11</v>
      </c>
      <c r="H23" s="19" t="s">
        <v>11</v>
      </c>
      <c r="I23" s="19" t="s">
        <v>11</v>
      </c>
      <c r="J23" s="19" t="s">
        <v>11</v>
      </c>
      <c r="K23" s="19"/>
      <c r="L23" s="19"/>
      <c r="M23" s="19" t="s">
        <v>11</v>
      </c>
      <c r="N23" s="19" t="s">
        <v>11</v>
      </c>
      <c r="O23" s="19" t="s">
        <v>11</v>
      </c>
      <c r="P23" s="19" t="s">
        <v>11</v>
      </c>
      <c r="Q23" s="19" t="s">
        <v>11</v>
      </c>
      <c r="R23" s="19"/>
      <c r="S23" s="19"/>
      <c r="T23" s="19" t="s">
        <v>11</v>
      </c>
      <c r="U23" s="19" t="s">
        <v>11</v>
      </c>
      <c r="V23" s="19" t="s">
        <v>11</v>
      </c>
      <c r="W23" s="19" t="s">
        <v>11</v>
      </c>
      <c r="X23" s="19" t="s">
        <v>11</v>
      </c>
      <c r="Y23" s="19"/>
      <c r="Z23" s="19"/>
      <c r="AA23" s="19" t="s">
        <v>11</v>
      </c>
      <c r="AB23" s="19" t="s">
        <v>11</v>
      </c>
      <c r="AC23" s="19" t="s">
        <v>11</v>
      </c>
      <c r="AD23" s="19" t="s">
        <v>11</v>
      </c>
      <c r="AE23" s="19" t="s">
        <v>11</v>
      </c>
      <c r="AF23" s="26"/>
    </row>
    <row r="24" spans="1:32" ht="15" thickBot="1" x14ac:dyDescent="0.35">
      <c r="A24" s="27" t="s">
        <v>12</v>
      </c>
      <c r="B24" s="28" t="s">
        <v>11</v>
      </c>
      <c r="C24" s="28" t="s">
        <v>11</v>
      </c>
      <c r="D24" s="28"/>
      <c r="E24" s="28"/>
      <c r="F24" s="28" t="s">
        <v>11</v>
      </c>
      <c r="G24" s="28" t="s">
        <v>11</v>
      </c>
      <c r="H24" s="28" t="s">
        <v>11</v>
      </c>
      <c r="I24" s="28" t="s">
        <v>11</v>
      </c>
      <c r="J24" s="28" t="s">
        <v>11</v>
      </c>
      <c r="K24" s="28"/>
      <c r="L24" s="28"/>
      <c r="M24" s="28" t="s">
        <v>11</v>
      </c>
      <c r="N24" s="28" t="s">
        <v>11</v>
      </c>
      <c r="O24" s="28" t="s">
        <v>11</v>
      </c>
      <c r="P24" s="28" t="s">
        <v>11</v>
      </c>
      <c r="Q24" s="28" t="s">
        <v>11</v>
      </c>
      <c r="R24" s="28"/>
      <c r="S24" s="28"/>
      <c r="T24" s="28" t="s">
        <v>11</v>
      </c>
      <c r="U24" s="28" t="s">
        <v>11</v>
      </c>
      <c r="V24" s="28" t="s">
        <v>11</v>
      </c>
      <c r="W24" s="28" t="s">
        <v>11</v>
      </c>
      <c r="X24" s="28" t="s">
        <v>11</v>
      </c>
      <c r="Y24" s="28"/>
      <c r="Z24" s="28"/>
      <c r="AA24" s="28" t="s">
        <v>11</v>
      </c>
      <c r="AB24" s="28" t="s">
        <v>11</v>
      </c>
      <c r="AC24" s="28" t="s">
        <v>11</v>
      </c>
      <c r="AD24" s="28" t="s">
        <v>11</v>
      </c>
      <c r="AE24" s="28" t="s">
        <v>11</v>
      </c>
      <c r="AF24" s="29"/>
    </row>
    <row r="25" spans="1:3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</sheetData>
  <mergeCells count="40">
    <mergeCell ref="S5:U5"/>
    <mergeCell ref="V5:X5"/>
    <mergeCell ref="Z5:AD5"/>
    <mergeCell ref="B6:C6"/>
    <mergeCell ref="D6:G6"/>
    <mergeCell ref="H6:I6"/>
    <mergeCell ref="P6:R6"/>
    <mergeCell ref="S6:U6"/>
    <mergeCell ref="V6:X6"/>
    <mergeCell ref="AA6:AB6"/>
    <mergeCell ref="B5:C5"/>
    <mergeCell ref="D5:G5"/>
    <mergeCell ref="H5:I5"/>
    <mergeCell ref="M5:M7"/>
    <mergeCell ref="N5:O7"/>
    <mergeCell ref="P5:R5"/>
    <mergeCell ref="AC6:AD6"/>
    <mergeCell ref="B7:C7"/>
    <mergeCell ref="D7:G7"/>
    <mergeCell ref="H7:I7"/>
    <mergeCell ref="P7:R7"/>
    <mergeCell ref="S7:U7"/>
    <mergeCell ref="V7:X7"/>
    <mergeCell ref="AA7:AB7"/>
    <mergeCell ref="AC7:AD7"/>
    <mergeCell ref="A15:A16"/>
    <mergeCell ref="H10:I10"/>
    <mergeCell ref="A14:AF14"/>
    <mergeCell ref="AC8:AD8"/>
    <mergeCell ref="H9:I9"/>
    <mergeCell ref="N9:O9"/>
    <mergeCell ref="P9:R9"/>
    <mergeCell ref="S9:U9"/>
    <mergeCell ref="V9:X9"/>
    <mergeCell ref="H8:I8"/>
    <mergeCell ref="N8:O8"/>
    <mergeCell ref="P8:R8"/>
    <mergeCell ref="S8:U8"/>
    <mergeCell ref="V8:X8"/>
    <mergeCell ref="AA8:AB8"/>
  </mergeCells>
  <conditionalFormatting sqref="B3:AF3">
    <cfRule type="containsText" dxfId="1031" priority="49" operator="containsText" text="FE">
      <formula>NOT(ISERROR(SEARCH("FE",B3)))</formula>
    </cfRule>
  </conditionalFormatting>
  <conditionalFormatting sqref="B17:AF24">
    <cfRule type="containsText" dxfId="1030" priority="12" operator="containsText" text="HB">
      <formula>NOT(ISERROR(SEARCH("HB",B17)))</formula>
    </cfRule>
    <cfRule type="containsText" dxfId="1029" priority="33" operator="containsText" text="OT">
      <formula>NOT(ISERROR(SEARCH("OT",B17)))</formula>
    </cfRule>
    <cfRule type="containsText" dxfId="1028" priority="34" operator="containsText" text="SD">
      <formula>NOT(ISERROR(SEARCH("SD",B17)))</formula>
    </cfRule>
    <cfRule type="containsText" dxfId="1027" priority="35" operator="containsText" text="E3">
      <formula>NOT(ISERROR(SEARCH("E3",B17)))</formula>
    </cfRule>
    <cfRule type="containsText" dxfId="1026" priority="36" operator="containsText" text="E2">
      <formula>NOT(ISERROR(SEARCH("E2",B17)))</formula>
    </cfRule>
    <cfRule type="containsText" dxfId="1025" priority="37" operator="containsText" text="E1">
      <formula>NOT(ISERROR(SEARCH("E1",B17)))</formula>
    </cfRule>
    <cfRule type="containsText" dxfId="1024" priority="44" operator="containsText" text="DO">
      <formula>NOT(ISERROR(SEARCH("DO",B17)))</formula>
    </cfRule>
    <cfRule type="containsText" dxfId="1023" priority="45" operator="containsText" text="VA">
      <formula>NOT(ISERROR(SEARCH("VA",B17)))</formula>
    </cfRule>
    <cfRule type="containsText" dxfId="1022" priority="46" operator="containsText" text="T1">
      <formula>NOT(ISERROR(SEARCH("T1",B17)))</formula>
    </cfRule>
    <cfRule type="containsText" dxfId="1021" priority="47" operator="containsText" text="T2">
      <formula>NOT(ISERROR(SEARCH("T2",B17)))</formula>
    </cfRule>
    <cfRule type="containsText" dxfId="1020" priority="48" operator="containsText" text="T3">
      <formula>NOT(ISERROR(SEARCH("T3",B17)))</formula>
    </cfRule>
  </conditionalFormatting>
  <conditionalFormatting sqref="B15:AF15">
    <cfRule type="containsText" dxfId="1019" priority="42" operator="containsText" text="DOM">
      <formula>NOT(ISERROR(SEARCH("DOM",B15)))</formula>
    </cfRule>
    <cfRule type="containsText" dxfId="1018" priority="43" operator="containsText" text="SÁB">
      <formula>NOT(ISERROR(SEARCH("SÁB",B15)))</formula>
    </cfRule>
  </conditionalFormatting>
  <conditionalFormatting sqref="J7">
    <cfRule type="containsText" dxfId="1017" priority="41" operator="containsText" text="FE">
      <formula>NOT(ISERROR(SEARCH("FE",J7)))</formula>
    </cfRule>
  </conditionalFormatting>
  <conditionalFormatting sqref="M5">
    <cfRule type="containsText" dxfId="1016" priority="38" operator="containsText" text="T3">
      <formula>NOT(ISERROR(SEARCH("T3",M5)))</formula>
    </cfRule>
    <cfRule type="containsText" dxfId="1015" priority="39" operator="containsText" text="T2">
      <formula>NOT(ISERROR(SEARCH("T2",M5)))</formula>
    </cfRule>
    <cfRule type="containsText" dxfId="1014" priority="40" operator="containsText" text="T1">
      <formula>NOT(ISERROR(SEARCH("T1",M5)))</formula>
    </cfRule>
  </conditionalFormatting>
  <conditionalFormatting sqref="B16">
    <cfRule type="expression" dxfId="1013" priority="50">
      <formula>$B$3="FE"</formula>
    </cfRule>
  </conditionalFormatting>
  <conditionalFormatting sqref="C16">
    <cfRule type="expression" dxfId="1012" priority="51">
      <formula>$C$3="FE"</formula>
    </cfRule>
    <cfRule type="expression" dxfId="1011" priority="52">
      <formula>$C$3="FE"</formula>
    </cfRule>
  </conditionalFormatting>
  <conditionalFormatting sqref="D16">
    <cfRule type="expression" dxfId="1010" priority="53">
      <formula>$D$3="FE"</formula>
    </cfRule>
    <cfRule type="expression" dxfId="1009" priority="54">
      <formula>$D$3="FE"</formula>
    </cfRule>
  </conditionalFormatting>
  <conditionalFormatting sqref="F16">
    <cfRule type="expression" dxfId="1008" priority="55">
      <formula>$F$3="FE"</formula>
    </cfRule>
    <cfRule type="expression" dxfId="1007" priority="56">
      <formula>$F$3="FE"</formula>
    </cfRule>
  </conditionalFormatting>
  <conditionalFormatting sqref="G16">
    <cfRule type="expression" dxfId="1006" priority="57">
      <formula>$G$3="FE"</formula>
    </cfRule>
    <cfRule type="expression" dxfId="1005" priority="58">
      <formula>$G$3="FE"</formula>
    </cfRule>
  </conditionalFormatting>
  <conditionalFormatting sqref="H16">
    <cfRule type="expression" dxfId="1004" priority="59">
      <formula>$H$3="FE"</formula>
    </cfRule>
  </conditionalFormatting>
  <conditionalFormatting sqref="I16">
    <cfRule type="expression" dxfId="1003" priority="60">
      <formula>$I$3="FE"</formula>
    </cfRule>
    <cfRule type="expression" dxfId="1002" priority="61">
      <formula>$I$3="FE"</formula>
    </cfRule>
  </conditionalFormatting>
  <conditionalFormatting sqref="J16">
    <cfRule type="expression" dxfId="1001" priority="62">
      <formula>$J$3="FE"</formula>
    </cfRule>
    <cfRule type="expression" dxfId="1000" priority="63">
      <formula>$J$3="FE"</formula>
    </cfRule>
  </conditionalFormatting>
  <conditionalFormatting sqref="K16">
    <cfRule type="expression" dxfId="999" priority="64">
      <formula>$K$3="FE"</formula>
    </cfRule>
  </conditionalFormatting>
  <conditionalFormatting sqref="L16">
    <cfRule type="expression" dxfId="998" priority="65">
      <formula>$L$3="FE"</formula>
    </cfRule>
  </conditionalFormatting>
  <conditionalFormatting sqref="M16">
    <cfRule type="expression" dxfId="997" priority="66">
      <formula>$M$3="FE"</formula>
    </cfRule>
  </conditionalFormatting>
  <conditionalFormatting sqref="N16">
    <cfRule type="expression" dxfId="996" priority="67">
      <formula>$N$3="FE"</formula>
    </cfRule>
  </conditionalFormatting>
  <conditionalFormatting sqref="O16">
    <cfRule type="expression" dxfId="995" priority="68">
      <formula>$O$3="FE"</formula>
    </cfRule>
  </conditionalFormatting>
  <conditionalFormatting sqref="P16">
    <cfRule type="expression" dxfId="994" priority="69">
      <formula>$P$3="FE"</formula>
    </cfRule>
  </conditionalFormatting>
  <conditionalFormatting sqref="Q16">
    <cfRule type="expression" dxfId="993" priority="70">
      <formula>$Q$3="FE"</formula>
    </cfRule>
  </conditionalFormatting>
  <conditionalFormatting sqref="R16">
    <cfRule type="expression" dxfId="992" priority="71">
      <formula>$R$3="FE"</formula>
    </cfRule>
  </conditionalFormatting>
  <conditionalFormatting sqref="S16">
    <cfRule type="expression" dxfId="991" priority="72">
      <formula>$S$3="FE"</formula>
    </cfRule>
  </conditionalFormatting>
  <conditionalFormatting sqref="T16">
    <cfRule type="expression" dxfId="990" priority="73">
      <formula>$T$3="FE"</formula>
    </cfRule>
  </conditionalFormatting>
  <conditionalFormatting sqref="U16">
    <cfRule type="expression" dxfId="989" priority="74">
      <formula>$U$3="FE"</formula>
    </cfRule>
  </conditionalFormatting>
  <conditionalFormatting sqref="V16">
    <cfRule type="expression" dxfId="988" priority="75">
      <formula>$V$3="FE"</formula>
    </cfRule>
  </conditionalFormatting>
  <conditionalFormatting sqref="W16">
    <cfRule type="expression" dxfId="987" priority="76">
      <formula>$W$3="FE"</formula>
    </cfRule>
  </conditionalFormatting>
  <conditionalFormatting sqref="X16">
    <cfRule type="expression" dxfId="986" priority="77">
      <formula>$X$3="FE"</formula>
    </cfRule>
  </conditionalFormatting>
  <conditionalFormatting sqref="Y16">
    <cfRule type="expression" dxfId="985" priority="78">
      <formula>$Y$3="FE"</formula>
    </cfRule>
  </conditionalFormatting>
  <conditionalFormatting sqref="Z16">
    <cfRule type="expression" dxfId="984" priority="79">
      <formula>$Z$3="FE"</formula>
    </cfRule>
  </conditionalFormatting>
  <conditionalFormatting sqref="AA16">
    <cfRule type="expression" dxfId="983" priority="80">
      <formula>$AA$3="FE"</formula>
    </cfRule>
  </conditionalFormatting>
  <conditionalFormatting sqref="AB16">
    <cfRule type="expression" dxfId="982" priority="81">
      <formula>$AB$3="FE"</formula>
    </cfRule>
  </conditionalFormatting>
  <conditionalFormatting sqref="AC16">
    <cfRule type="expression" dxfId="981" priority="82">
      <formula>$AC$3="FE"</formula>
    </cfRule>
  </conditionalFormatting>
  <conditionalFormatting sqref="AD16">
    <cfRule type="expression" dxfId="980" priority="83">
      <formula>$AD$3="FE"</formula>
    </cfRule>
  </conditionalFormatting>
  <conditionalFormatting sqref="AE16">
    <cfRule type="expression" dxfId="979" priority="84">
      <formula>$AE$3="FE"</formula>
    </cfRule>
  </conditionalFormatting>
  <conditionalFormatting sqref="AF16">
    <cfRule type="expression" dxfId="978" priority="85">
      <formula>$AF$3="FE"</formula>
    </cfRule>
  </conditionalFormatting>
  <conditionalFormatting sqref="E16">
    <cfRule type="expression" dxfId="977" priority="86">
      <formula>$E$3="FE"</formula>
    </cfRule>
  </conditionalFormatting>
  <conditionalFormatting sqref="Z6:Z8 J5 J8:J10">
    <cfRule type="containsText" dxfId="976" priority="23" operator="containsText" text="OT">
      <formula>NOT(ISERROR(SEARCH("OT",J5)))</formula>
    </cfRule>
    <cfRule type="containsText" dxfId="975" priority="24" operator="containsText" text="SD">
      <formula>NOT(ISERROR(SEARCH("SD",J5)))</formula>
    </cfRule>
    <cfRule type="containsText" dxfId="974" priority="25" operator="containsText" text="E3">
      <formula>NOT(ISERROR(SEARCH("E3",J5)))</formula>
    </cfRule>
    <cfRule type="containsText" dxfId="973" priority="26" operator="containsText" text="E2">
      <formula>NOT(ISERROR(SEARCH("E2",J5)))</formula>
    </cfRule>
    <cfRule type="containsText" dxfId="972" priority="27" operator="containsText" text="E1">
      <formula>NOT(ISERROR(SEARCH("E1",J5)))</formula>
    </cfRule>
    <cfRule type="containsText" dxfId="971" priority="28" operator="containsText" text="DO">
      <formula>NOT(ISERROR(SEARCH("DO",J5)))</formula>
    </cfRule>
    <cfRule type="containsText" dxfId="970" priority="29" operator="containsText" text="VA">
      <formula>NOT(ISERROR(SEARCH("VA",J5)))</formula>
    </cfRule>
    <cfRule type="containsText" dxfId="969" priority="30" operator="containsText" text="T1">
      <formula>NOT(ISERROR(SEARCH("T1",J5)))</formula>
    </cfRule>
    <cfRule type="containsText" dxfId="968" priority="31" operator="containsText" text="T2">
      <formula>NOT(ISERROR(SEARCH("T2",J5)))</formula>
    </cfRule>
    <cfRule type="containsText" dxfId="967" priority="32" operator="containsText" text="T3">
      <formula>NOT(ISERROR(SEARCH("T3",J5)))</formula>
    </cfRule>
  </conditionalFormatting>
  <conditionalFormatting sqref="M8:M9">
    <cfRule type="containsText" dxfId="966" priority="13" operator="containsText" text="OT">
      <formula>NOT(ISERROR(SEARCH("OT",M8)))</formula>
    </cfRule>
    <cfRule type="containsText" dxfId="965" priority="14" operator="containsText" text="SD">
      <formula>NOT(ISERROR(SEARCH("SD",M8)))</formula>
    </cfRule>
    <cfRule type="containsText" dxfId="964" priority="15" operator="containsText" text="E3">
      <formula>NOT(ISERROR(SEARCH("E3",M8)))</formula>
    </cfRule>
    <cfRule type="containsText" dxfId="963" priority="16" operator="containsText" text="E2">
      <formula>NOT(ISERROR(SEARCH("E2",M8)))</formula>
    </cfRule>
    <cfRule type="containsText" dxfId="962" priority="17" operator="containsText" text="E1">
      <formula>NOT(ISERROR(SEARCH("E1",M8)))</formula>
    </cfRule>
    <cfRule type="containsText" dxfId="961" priority="18" operator="containsText" text="DO">
      <formula>NOT(ISERROR(SEARCH("DO",M8)))</formula>
    </cfRule>
    <cfRule type="containsText" dxfId="960" priority="19" operator="containsText" text="VA">
      <formula>NOT(ISERROR(SEARCH("VA",M8)))</formula>
    </cfRule>
    <cfRule type="containsText" dxfId="959" priority="20" operator="containsText" text="T1">
      <formula>NOT(ISERROR(SEARCH("T1",M8)))</formula>
    </cfRule>
    <cfRule type="containsText" dxfId="958" priority="21" operator="containsText" text="T2">
      <formula>NOT(ISERROR(SEARCH("T2",M8)))</formula>
    </cfRule>
    <cfRule type="containsText" dxfId="957" priority="22" operator="containsText" text="T3">
      <formula>NOT(ISERROR(SEARCH("T3",M8)))</formula>
    </cfRule>
  </conditionalFormatting>
  <conditionalFormatting sqref="J6">
    <cfRule type="containsText" dxfId="956" priority="1" operator="containsText" text="HB">
      <formula>NOT(ISERROR(SEARCH("HB",J6)))</formula>
    </cfRule>
    <cfRule type="containsText" dxfId="955" priority="2" operator="containsText" text="OT">
      <formula>NOT(ISERROR(SEARCH("OT",J6)))</formula>
    </cfRule>
    <cfRule type="containsText" dxfId="954" priority="3" operator="containsText" text="SD">
      <formula>NOT(ISERROR(SEARCH("SD",J6)))</formula>
    </cfRule>
    <cfRule type="containsText" dxfId="953" priority="4" operator="containsText" text="E3">
      <formula>NOT(ISERROR(SEARCH("E3",J6)))</formula>
    </cfRule>
    <cfRule type="containsText" dxfId="952" priority="5" operator="containsText" text="E2">
      <formula>NOT(ISERROR(SEARCH("E2",J6)))</formula>
    </cfRule>
    <cfRule type="containsText" dxfId="951" priority="6" operator="containsText" text="E1">
      <formula>NOT(ISERROR(SEARCH("E1",J6)))</formula>
    </cfRule>
    <cfRule type="containsText" dxfId="950" priority="7" operator="containsText" text="DO">
      <formula>NOT(ISERROR(SEARCH("DO",J6)))</formula>
    </cfRule>
    <cfRule type="containsText" dxfId="949" priority="8" operator="containsText" text="VA">
      <formula>NOT(ISERROR(SEARCH("VA",J6)))</formula>
    </cfRule>
    <cfRule type="containsText" dxfId="948" priority="9" operator="containsText" text="T1">
      <formula>NOT(ISERROR(SEARCH("T1",J6)))</formula>
    </cfRule>
    <cfRule type="containsText" dxfId="947" priority="10" operator="containsText" text="T2">
      <formula>NOT(ISERROR(SEARCH("T2",J6)))</formula>
    </cfRule>
    <cfRule type="containsText" dxfId="946" priority="11" operator="containsText" text="T3">
      <formula>NOT(ISERROR(SEARCH("T3",J6)))</formula>
    </cfRule>
  </conditionalFormatting>
  <dataValidations count="1">
    <dataValidation type="list" allowBlank="1" showInputMessage="1" showErrorMessage="1" sqref="M5" xr:uid="{83C771F3-5D2D-4922-A621-0E7320B94AA2}">
      <formula1>#REF!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6AE6F8F-FC92-4A4D-ADE9-4261777C05FD}">
          <x14:formula1>
            <xm:f>Configuração!$N$7:$N$23</xm:f>
          </x14:formula1>
          <xm:sqref>AC6:AD8</xm:sqref>
        </x14:dataValidation>
        <x14:dataValidation type="list" allowBlank="1" showInputMessage="1" showErrorMessage="1" xr:uid="{9D90B07C-BB71-4927-A7CF-C244988C5E72}">
          <x14:formula1>
            <xm:f>Configuração!$N$7:$N$1048576</xm:f>
          </x14:formula1>
          <xm:sqref>P5:P9</xm:sqref>
        </x14:dataValidation>
        <x14:dataValidation type="list" allowBlank="1" showInputMessage="1" showErrorMessage="1" xr:uid="{640C28F6-4752-429F-ACD8-6A89B2C8738D}">
          <x14:formula1>
            <xm:f>Configuração!$U$7:$U$17</xm:f>
          </x14:formula1>
          <xm:sqref>J6</xm:sqref>
        </x14:dataValidation>
        <x14:dataValidation type="list" allowBlank="1" showInputMessage="1" showErrorMessage="1" xr:uid="{01AC35D5-AEE9-4A0D-BB58-D980C3497553}">
          <x14:formula1>
            <xm:f>Configuração!$U$7:$U$16</xm:f>
          </x14:formula1>
          <xm:sqref>Z6:Z8 J8:J10 J5 M8:M9</xm:sqref>
        </x14:dataValidation>
        <x14:dataValidation type="list" allowBlank="1" showInputMessage="1" showErrorMessage="1" xr:uid="{9BB9655C-DE48-44EA-A451-AA8365E0A83D}">
          <x14:formula1>
            <xm:f>Configuração!$L$7:$L$27</xm:f>
          </x14:formula1>
          <xm:sqref>S5:X9 A17:A24</xm:sqref>
        </x14:dataValidation>
        <x14:dataValidation type="list" allowBlank="1" showInputMessage="1" showErrorMessage="1" xr:uid="{380CBB31-6C74-4C63-9267-C7B4E786A9A7}">
          <x14:formula1>
            <xm:f>Configuração!$Q$6:$Q$56</xm:f>
          </x14:formula1>
          <xm:sqref>D5:G5</xm:sqref>
        </x14:dataValidation>
        <x14:dataValidation type="list" allowBlank="1" showInputMessage="1" showErrorMessage="1" xr:uid="{20D9FB7E-4437-41E8-9BD5-6E826689FA12}">
          <x14:formula1>
            <xm:f>Configuração!$U$7:$U$22</xm:f>
          </x14:formula1>
          <xm:sqref>B17:AF37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71ED3-F83F-40BB-83E5-D97117306A93}">
  <sheetPr codeName="Planilha4"/>
  <dimension ref="A1:AF40"/>
  <sheetViews>
    <sheetView zoomScale="90" zoomScaleNormal="90" workbookViewId="0">
      <selection activeCell="E30" sqref="E30"/>
    </sheetView>
  </sheetViews>
  <sheetFormatPr defaultRowHeight="14.4" x14ac:dyDescent="0.3"/>
  <cols>
    <col min="1" max="1" width="11.77734375" bestFit="1" customWidth="1"/>
    <col min="2" max="32" width="6.6640625" customWidth="1"/>
  </cols>
  <sheetData>
    <row r="1" spans="1:32" ht="31.2" x14ac:dyDescent="0.3">
      <c r="A1" s="12"/>
      <c r="B1" s="12"/>
      <c r="C1" s="12"/>
      <c r="D1" s="12"/>
      <c r="E1" s="13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 ht="78.45" customHeight="1" x14ac:dyDescent="0.3">
      <c r="A2" s="14"/>
      <c r="B2" s="14"/>
      <c r="C2" s="14"/>
      <c r="D2" s="14"/>
      <c r="E2" s="1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32" ht="15" hidden="1" thickBot="1" x14ac:dyDescent="0.35">
      <c r="A3" s="8" t="s">
        <v>13</v>
      </c>
      <c r="B3" s="9" t="str">
        <f>IF(MONTH(D5)=5,"FE",IF(MONTH(D5)=1,"FE",""))</f>
        <v/>
      </c>
      <c r="C3" s="10" t="str">
        <f>IF(MONTH(D5)=11,"FE","")</f>
        <v/>
      </c>
      <c r="D3" s="10"/>
      <c r="E3" s="10" t="str">
        <f>IF(MONTH(D5)=3,"FE","")</f>
        <v/>
      </c>
      <c r="F3" s="10"/>
      <c r="G3" s="10"/>
      <c r="H3" s="10" t="str">
        <f>IF(MONTH(D5)=9,"FE","")</f>
        <v/>
      </c>
      <c r="I3" s="10"/>
      <c r="J3" s="10"/>
      <c r="K3" s="10"/>
      <c r="L3" s="10"/>
      <c r="M3" s="10" t="str">
        <f>IF(MONTH(D5)=10,"FE","")</f>
        <v/>
      </c>
      <c r="N3" s="10"/>
      <c r="O3" s="10"/>
      <c r="P3" s="10" t="str">
        <f>IF(MONTH(D5)=11,"FE","")</f>
        <v/>
      </c>
      <c r="Q3" s="10"/>
      <c r="R3" s="10" t="str">
        <f>IF(MONTH(D5)=2,"FE","")</f>
        <v>FE</v>
      </c>
      <c r="S3" s="10"/>
      <c r="T3" s="10"/>
      <c r="U3" s="10" t="str">
        <f>IF(MONTH(D5)=11,"FE","")</f>
        <v/>
      </c>
      <c r="V3" s="10" t="str">
        <f>IF(MONTH(D5)=4,"FE","")</f>
        <v/>
      </c>
      <c r="W3" s="10"/>
      <c r="X3" s="10"/>
      <c r="Y3" s="10"/>
      <c r="Z3" s="10" t="str">
        <f>IF(MONTH(D5)=12,"FE",IF(MONTH(D5)=1,"FE",""))</f>
        <v/>
      </c>
      <c r="AA3" s="10"/>
      <c r="AB3" s="10"/>
      <c r="AC3" s="10"/>
      <c r="AD3" s="10"/>
      <c r="AE3" s="10" t="str">
        <f>IF(MONTH(D5)=5,"FE","")</f>
        <v/>
      </c>
      <c r="AF3" s="11"/>
    </row>
    <row r="4" spans="1:3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3">
      <c r="A5" s="1"/>
      <c r="B5" s="72" t="s">
        <v>14</v>
      </c>
      <c r="C5" s="72"/>
      <c r="D5" s="73">
        <v>46054</v>
      </c>
      <c r="E5" s="73"/>
      <c r="F5" s="73"/>
      <c r="G5" s="73"/>
      <c r="H5" s="81" t="s">
        <v>68</v>
      </c>
      <c r="I5" s="82"/>
      <c r="J5" s="17" t="s">
        <v>67</v>
      </c>
      <c r="K5" s="1"/>
      <c r="L5" s="1"/>
      <c r="M5" s="76" t="s">
        <v>3</v>
      </c>
      <c r="N5" s="77" t="s">
        <v>17</v>
      </c>
      <c r="O5" s="77"/>
      <c r="P5" s="75" t="s">
        <v>83</v>
      </c>
      <c r="Q5" s="75"/>
      <c r="R5" s="75"/>
      <c r="S5" s="75" t="s">
        <v>7</v>
      </c>
      <c r="T5" s="75"/>
      <c r="U5" s="75"/>
      <c r="V5" s="75" t="s">
        <v>80</v>
      </c>
      <c r="W5" s="75"/>
      <c r="X5" s="75"/>
      <c r="Y5" s="1"/>
      <c r="Z5" s="80" t="s">
        <v>18</v>
      </c>
      <c r="AA5" s="80"/>
      <c r="AB5" s="80"/>
      <c r="AC5" s="80"/>
      <c r="AD5" s="80"/>
      <c r="AE5" s="1"/>
      <c r="AF5" s="1"/>
    </row>
    <row r="6" spans="1:32" x14ac:dyDescent="0.3">
      <c r="A6" s="1"/>
      <c r="B6" s="72" t="s">
        <v>19</v>
      </c>
      <c r="C6" s="72"/>
      <c r="D6" s="74">
        <f>EOMONTH(D5,0)</f>
        <v>46081</v>
      </c>
      <c r="E6" s="74"/>
      <c r="F6" s="74"/>
      <c r="G6" s="74"/>
      <c r="H6" s="81" t="s">
        <v>82</v>
      </c>
      <c r="I6" s="82"/>
      <c r="J6" s="18" t="s">
        <v>81</v>
      </c>
      <c r="K6" s="1"/>
      <c r="L6" s="1"/>
      <c r="M6" s="76"/>
      <c r="N6" s="77"/>
      <c r="O6" s="77"/>
      <c r="P6" s="75" t="s">
        <v>94</v>
      </c>
      <c r="Q6" s="75"/>
      <c r="R6" s="75"/>
      <c r="S6" s="75" t="s">
        <v>6</v>
      </c>
      <c r="T6" s="75"/>
      <c r="U6" s="75"/>
      <c r="V6" s="75"/>
      <c r="W6" s="75"/>
      <c r="X6" s="75"/>
      <c r="Y6" s="1"/>
      <c r="Z6" s="19" t="s">
        <v>22</v>
      </c>
      <c r="AA6" s="77" t="s">
        <v>23</v>
      </c>
      <c r="AB6" s="77"/>
      <c r="AC6" s="75" t="s">
        <v>83</v>
      </c>
      <c r="AD6" s="75"/>
      <c r="AE6" s="1"/>
      <c r="AF6" s="1"/>
    </row>
    <row r="7" spans="1:32" x14ac:dyDescent="0.3">
      <c r="A7" s="1"/>
      <c r="B7" s="72" t="s">
        <v>24</v>
      </c>
      <c r="C7" s="72"/>
      <c r="D7" s="75">
        <f>DAY(D6)</f>
        <v>28</v>
      </c>
      <c r="E7" s="75"/>
      <c r="F7" s="75"/>
      <c r="G7" s="75"/>
      <c r="H7" s="78" t="s">
        <v>25</v>
      </c>
      <c r="I7" s="79"/>
      <c r="J7" s="19" t="s">
        <v>26</v>
      </c>
      <c r="K7" s="1"/>
      <c r="L7" s="1"/>
      <c r="M7" s="76"/>
      <c r="N7" s="77"/>
      <c r="O7" s="77"/>
      <c r="P7" s="75" t="s">
        <v>27</v>
      </c>
      <c r="Q7" s="75"/>
      <c r="R7" s="75"/>
      <c r="S7" s="75" t="s">
        <v>73</v>
      </c>
      <c r="T7" s="75"/>
      <c r="U7" s="75"/>
      <c r="V7" s="75"/>
      <c r="W7" s="75"/>
      <c r="X7" s="75"/>
      <c r="Y7" s="1"/>
      <c r="Z7" s="19" t="s">
        <v>28</v>
      </c>
      <c r="AA7" s="77" t="s">
        <v>29</v>
      </c>
      <c r="AB7" s="77"/>
      <c r="AC7" s="75" t="s">
        <v>30</v>
      </c>
      <c r="AD7" s="75"/>
      <c r="AE7" s="1"/>
      <c r="AF7" s="1"/>
    </row>
    <row r="8" spans="1:32" x14ac:dyDescent="0.3">
      <c r="A8" s="1"/>
      <c r="B8" s="1"/>
      <c r="C8" s="1"/>
      <c r="D8" s="1"/>
      <c r="E8" s="1"/>
      <c r="F8" s="1"/>
      <c r="G8" s="1"/>
      <c r="H8" s="78" t="s">
        <v>15</v>
      </c>
      <c r="I8" s="79"/>
      <c r="J8" s="19" t="s">
        <v>16</v>
      </c>
      <c r="K8" s="1"/>
      <c r="L8" s="1"/>
      <c r="M8" s="19" t="s">
        <v>8</v>
      </c>
      <c r="N8" s="77" t="s">
        <v>29</v>
      </c>
      <c r="O8" s="77"/>
      <c r="P8" s="75" t="s">
        <v>30</v>
      </c>
      <c r="Q8" s="75"/>
      <c r="R8" s="75"/>
      <c r="S8" s="75" t="s">
        <v>9</v>
      </c>
      <c r="T8" s="75"/>
      <c r="U8" s="75"/>
      <c r="V8" s="75" t="s">
        <v>74</v>
      </c>
      <c r="W8" s="75"/>
      <c r="X8" s="75"/>
      <c r="Y8" s="1"/>
      <c r="Z8" s="19" t="s">
        <v>31</v>
      </c>
      <c r="AA8" s="77" t="s">
        <v>32</v>
      </c>
      <c r="AB8" s="77"/>
      <c r="AC8" s="75" t="s">
        <v>84</v>
      </c>
      <c r="AD8" s="75"/>
      <c r="AE8" s="1"/>
      <c r="AF8" s="1"/>
    </row>
    <row r="9" spans="1:32" x14ac:dyDescent="0.3">
      <c r="A9" s="1"/>
      <c r="B9" s="1"/>
      <c r="C9" s="1"/>
      <c r="D9" s="1"/>
      <c r="E9" s="1"/>
      <c r="F9" s="1"/>
      <c r="G9" s="1"/>
      <c r="H9" s="78" t="s">
        <v>20</v>
      </c>
      <c r="I9" s="79"/>
      <c r="J9" s="19" t="s">
        <v>21</v>
      </c>
      <c r="K9" s="1"/>
      <c r="L9" s="1"/>
      <c r="M9" s="19" t="s">
        <v>11</v>
      </c>
      <c r="N9" s="77" t="s">
        <v>33</v>
      </c>
      <c r="O9" s="77"/>
      <c r="P9" s="75" t="s">
        <v>84</v>
      </c>
      <c r="Q9" s="75"/>
      <c r="R9" s="75"/>
      <c r="S9" s="75" t="s">
        <v>10</v>
      </c>
      <c r="T9" s="75"/>
      <c r="U9" s="75"/>
      <c r="V9" s="75" t="s">
        <v>12</v>
      </c>
      <c r="W9" s="75"/>
      <c r="X9" s="75"/>
      <c r="Y9" s="1"/>
      <c r="Z9" s="1"/>
      <c r="AA9" s="1"/>
      <c r="AB9" s="1"/>
      <c r="AC9" s="1"/>
      <c r="AD9" s="1"/>
      <c r="AE9" s="1"/>
      <c r="AF9" s="1"/>
    </row>
    <row r="10" spans="1:32" x14ac:dyDescent="0.3">
      <c r="A10" s="1"/>
      <c r="B10" s="1"/>
      <c r="C10" s="1"/>
      <c r="D10" s="1"/>
      <c r="E10" s="1"/>
      <c r="F10" s="1"/>
      <c r="G10" s="1"/>
      <c r="H10" s="81" t="s">
        <v>70</v>
      </c>
      <c r="I10" s="82"/>
      <c r="J10" s="19" t="s">
        <v>69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22.8" x14ac:dyDescent="0.3">
      <c r="A14" s="69" t="s">
        <v>0</v>
      </c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1"/>
    </row>
    <row r="15" spans="1:32" x14ac:dyDescent="0.3">
      <c r="A15" s="114" t="s">
        <v>1</v>
      </c>
      <c r="B15" s="20" t="str">
        <f>UPPER(TEXT(B16,"[$]ddd"))</f>
        <v>DOM</v>
      </c>
      <c r="C15" s="20" t="str">
        <f t="shared" ref="C15:AF15" si="0">UPPER(TEXT(C16,"[$]ddd"))</f>
        <v>SEG</v>
      </c>
      <c r="D15" s="20" t="str">
        <f t="shared" si="0"/>
        <v>TER</v>
      </c>
      <c r="E15" s="20" t="str">
        <f t="shared" si="0"/>
        <v>QUA</v>
      </c>
      <c r="F15" s="20" t="str">
        <f t="shared" si="0"/>
        <v>QUI</v>
      </c>
      <c r="G15" s="20" t="str">
        <f t="shared" si="0"/>
        <v>SEX</v>
      </c>
      <c r="H15" s="20" t="str">
        <f t="shared" si="0"/>
        <v>SÁB</v>
      </c>
      <c r="I15" s="20" t="str">
        <f t="shared" si="0"/>
        <v>DOM</v>
      </c>
      <c r="J15" s="20" t="str">
        <f t="shared" si="0"/>
        <v>SEG</v>
      </c>
      <c r="K15" s="20" t="str">
        <f t="shared" si="0"/>
        <v>TER</v>
      </c>
      <c r="L15" s="20" t="str">
        <f t="shared" si="0"/>
        <v>QUA</v>
      </c>
      <c r="M15" s="20" t="str">
        <f t="shared" si="0"/>
        <v>QUI</v>
      </c>
      <c r="N15" s="20" t="str">
        <f t="shared" si="0"/>
        <v>SEX</v>
      </c>
      <c r="O15" s="20" t="str">
        <f t="shared" si="0"/>
        <v>SÁB</v>
      </c>
      <c r="P15" s="20" t="str">
        <f t="shared" si="0"/>
        <v>DOM</v>
      </c>
      <c r="Q15" s="20" t="str">
        <f t="shared" si="0"/>
        <v>SEG</v>
      </c>
      <c r="R15" s="20" t="str">
        <f t="shared" si="0"/>
        <v>TER</v>
      </c>
      <c r="S15" s="20" t="str">
        <f t="shared" si="0"/>
        <v>QUA</v>
      </c>
      <c r="T15" s="20" t="str">
        <f t="shared" si="0"/>
        <v>QUI</v>
      </c>
      <c r="U15" s="20" t="str">
        <f t="shared" si="0"/>
        <v>SEX</v>
      </c>
      <c r="V15" s="20" t="str">
        <f t="shared" si="0"/>
        <v>SÁB</v>
      </c>
      <c r="W15" s="20" t="str">
        <f t="shared" si="0"/>
        <v>DOM</v>
      </c>
      <c r="X15" s="20" t="str">
        <f t="shared" si="0"/>
        <v>SEG</v>
      </c>
      <c r="Y15" s="20" t="str">
        <f t="shared" si="0"/>
        <v>TER</v>
      </c>
      <c r="Z15" s="20" t="str">
        <f t="shared" si="0"/>
        <v>QUA</v>
      </c>
      <c r="AA15" s="20" t="str">
        <f t="shared" si="0"/>
        <v>QUI</v>
      </c>
      <c r="AB15" s="20" t="str">
        <f t="shared" si="0"/>
        <v>SEX</v>
      </c>
      <c r="AC15" s="20" t="str">
        <f t="shared" si="0"/>
        <v>SÁB</v>
      </c>
      <c r="AD15" s="20" t="str">
        <f t="shared" si="0"/>
        <v>DOM</v>
      </c>
      <c r="AE15" s="20" t="str">
        <f t="shared" si="0"/>
        <v>SEG</v>
      </c>
      <c r="AF15" s="21" t="str">
        <f t="shared" si="0"/>
        <v>TER</v>
      </c>
    </row>
    <row r="16" spans="1:32" x14ac:dyDescent="0.3">
      <c r="A16" s="115"/>
      <c r="B16" s="22">
        <f>D5</f>
        <v>46054</v>
      </c>
      <c r="C16" s="23">
        <f>B16+1</f>
        <v>46055</v>
      </c>
      <c r="D16" s="23">
        <f t="shared" ref="D16:AF16" si="1">C16+1</f>
        <v>46056</v>
      </c>
      <c r="E16" s="23">
        <f t="shared" si="1"/>
        <v>46057</v>
      </c>
      <c r="F16" s="23">
        <f t="shared" si="1"/>
        <v>46058</v>
      </c>
      <c r="G16" s="23">
        <f t="shared" si="1"/>
        <v>46059</v>
      </c>
      <c r="H16" s="23">
        <f t="shared" si="1"/>
        <v>46060</v>
      </c>
      <c r="I16" s="23">
        <f t="shared" si="1"/>
        <v>46061</v>
      </c>
      <c r="J16" s="23">
        <f t="shared" si="1"/>
        <v>46062</v>
      </c>
      <c r="K16" s="23">
        <f t="shared" si="1"/>
        <v>46063</v>
      </c>
      <c r="L16" s="23">
        <f t="shared" si="1"/>
        <v>46064</v>
      </c>
      <c r="M16" s="23">
        <f t="shared" si="1"/>
        <v>46065</v>
      </c>
      <c r="N16" s="23">
        <f t="shared" si="1"/>
        <v>46066</v>
      </c>
      <c r="O16" s="23">
        <f t="shared" si="1"/>
        <v>46067</v>
      </c>
      <c r="P16" s="23">
        <f t="shared" si="1"/>
        <v>46068</v>
      </c>
      <c r="Q16" s="23">
        <f t="shared" si="1"/>
        <v>46069</v>
      </c>
      <c r="R16" s="23">
        <f t="shared" si="1"/>
        <v>46070</v>
      </c>
      <c r="S16" s="23">
        <f t="shared" si="1"/>
        <v>46071</v>
      </c>
      <c r="T16" s="23">
        <f t="shared" si="1"/>
        <v>46072</v>
      </c>
      <c r="U16" s="23">
        <f t="shared" si="1"/>
        <v>46073</v>
      </c>
      <c r="V16" s="23">
        <f t="shared" si="1"/>
        <v>46074</v>
      </c>
      <c r="W16" s="23">
        <f t="shared" si="1"/>
        <v>46075</v>
      </c>
      <c r="X16" s="23">
        <f t="shared" si="1"/>
        <v>46076</v>
      </c>
      <c r="Y16" s="23">
        <f t="shared" si="1"/>
        <v>46077</v>
      </c>
      <c r="Z16" s="23">
        <f t="shared" si="1"/>
        <v>46078</v>
      </c>
      <c r="AA16" s="23">
        <f t="shared" si="1"/>
        <v>46079</v>
      </c>
      <c r="AB16" s="23">
        <f t="shared" si="1"/>
        <v>46080</v>
      </c>
      <c r="AC16" s="23">
        <f t="shared" si="1"/>
        <v>46081</v>
      </c>
      <c r="AD16" s="23">
        <f t="shared" si="1"/>
        <v>46082</v>
      </c>
      <c r="AE16" s="23">
        <f t="shared" si="1"/>
        <v>46083</v>
      </c>
      <c r="AF16" s="24">
        <f t="shared" si="1"/>
        <v>46084</v>
      </c>
    </row>
    <row r="17" spans="1:32" x14ac:dyDescent="0.3">
      <c r="A17" s="25" t="s">
        <v>7</v>
      </c>
      <c r="B17" s="19"/>
      <c r="C17" s="19" t="s">
        <v>3</v>
      </c>
      <c r="D17" s="19" t="s">
        <v>3</v>
      </c>
      <c r="E17" s="19" t="s">
        <v>3</v>
      </c>
      <c r="F17" s="19" t="s">
        <v>3</v>
      </c>
      <c r="G17" s="19" t="s">
        <v>3</v>
      </c>
      <c r="H17" s="19"/>
      <c r="I17" s="19"/>
      <c r="J17" s="19" t="s">
        <v>3</v>
      </c>
      <c r="K17" s="19" t="s">
        <v>3</v>
      </c>
      <c r="L17" s="19" t="s">
        <v>3</v>
      </c>
      <c r="M17" s="19" t="s">
        <v>3</v>
      </c>
      <c r="N17" s="19" t="s">
        <v>3</v>
      </c>
      <c r="O17" s="19"/>
      <c r="P17" s="19"/>
      <c r="Q17" s="19" t="s">
        <v>3</v>
      </c>
      <c r="R17" s="19" t="s">
        <v>3</v>
      </c>
      <c r="S17" s="19" t="s">
        <v>3</v>
      </c>
      <c r="T17" s="19" t="s">
        <v>3</v>
      </c>
      <c r="U17" s="19" t="s">
        <v>3</v>
      </c>
      <c r="V17" s="19"/>
      <c r="W17" s="19"/>
      <c r="X17" s="19" t="s">
        <v>3</v>
      </c>
      <c r="Y17" s="19" t="s">
        <v>3</v>
      </c>
      <c r="Z17" s="19" t="s">
        <v>3</v>
      </c>
      <c r="AA17" s="19" t="s">
        <v>3</v>
      </c>
      <c r="AB17" s="19" t="s">
        <v>3</v>
      </c>
      <c r="AC17" s="19"/>
      <c r="AD17" s="19"/>
      <c r="AE17" s="19" t="s">
        <v>16</v>
      </c>
      <c r="AF17" s="26" t="s">
        <v>16</v>
      </c>
    </row>
    <row r="18" spans="1:32" x14ac:dyDescent="0.3">
      <c r="A18" s="25" t="s">
        <v>80</v>
      </c>
      <c r="B18" s="19"/>
      <c r="C18" s="19" t="s">
        <v>16</v>
      </c>
      <c r="D18" s="19" t="s">
        <v>16</v>
      </c>
      <c r="E18" s="19" t="s">
        <v>16</v>
      </c>
      <c r="F18" s="19" t="s">
        <v>16</v>
      </c>
      <c r="G18" s="19" t="s">
        <v>16</v>
      </c>
      <c r="H18" s="19" t="s">
        <v>16</v>
      </c>
      <c r="I18" s="19" t="s">
        <v>16</v>
      </c>
      <c r="J18" s="19" t="s">
        <v>16</v>
      </c>
      <c r="K18" s="19" t="s">
        <v>16</v>
      </c>
      <c r="L18" s="19" t="s">
        <v>16</v>
      </c>
      <c r="M18" s="19" t="s">
        <v>16</v>
      </c>
      <c r="N18" s="19" t="s">
        <v>16</v>
      </c>
      <c r="O18" s="19" t="s">
        <v>16</v>
      </c>
      <c r="P18" s="19" t="s">
        <v>16</v>
      </c>
      <c r="Q18" s="19" t="s">
        <v>16</v>
      </c>
      <c r="R18" s="19" t="s">
        <v>16</v>
      </c>
      <c r="S18" s="19" t="s">
        <v>16</v>
      </c>
      <c r="T18" s="19" t="s">
        <v>16</v>
      </c>
      <c r="U18" s="19" t="s">
        <v>16</v>
      </c>
      <c r="V18" s="19" t="s">
        <v>16</v>
      </c>
      <c r="W18" s="19" t="s">
        <v>16</v>
      </c>
      <c r="X18" s="19" t="s">
        <v>16</v>
      </c>
      <c r="Y18" s="19" t="s">
        <v>16</v>
      </c>
      <c r="Z18" s="19" t="s">
        <v>16</v>
      </c>
      <c r="AA18" s="19" t="s">
        <v>16</v>
      </c>
      <c r="AB18" s="19" t="s">
        <v>16</v>
      </c>
      <c r="AC18" s="19" t="s">
        <v>16</v>
      </c>
      <c r="AD18" s="19" t="s">
        <v>16</v>
      </c>
      <c r="AE18" s="19" t="s">
        <v>16</v>
      </c>
      <c r="AF18" s="26" t="s">
        <v>16</v>
      </c>
    </row>
    <row r="19" spans="1:32" x14ac:dyDescent="0.3">
      <c r="A19" s="25" t="s">
        <v>6</v>
      </c>
      <c r="B19" s="19"/>
      <c r="C19" s="19" t="s">
        <v>3</v>
      </c>
      <c r="D19" s="19" t="s">
        <v>3</v>
      </c>
      <c r="E19" s="19" t="s">
        <v>3</v>
      </c>
      <c r="F19" s="19" t="s">
        <v>3</v>
      </c>
      <c r="G19" s="19" t="s">
        <v>3</v>
      </c>
      <c r="H19" s="19"/>
      <c r="I19" s="19"/>
      <c r="J19" s="19" t="s">
        <v>3</v>
      </c>
      <c r="K19" s="19" t="s">
        <v>3</v>
      </c>
      <c r="L19" s="19" t="s">
        <v>3</v>
      </c>
      <c r="M19" s="19" t="s">
        <v>3</v>
      </c>
      <c r="N19" s="19" t="s">
        <v>3</v>
      </c>
      <c r="O19" s="19"/>
      <c r="P19" s="19"/>
      <c r="Q19" s="19" t="s">
        <v>3</v>
      </c>
      <c r="R19" s="19" t="s">
        <v>3</v>
      </c>
      <c r="S19" s="19" t="s">
        <v>3</v>
      </c>
      <c r="T19" s="19" t="s">
        <v>3</v>
      </c>
      <c r="U19" s="19" t="s">
        <v>3</v>
      </c>
      <c r="V19" s="19"/>
      <c r="W19" s="19"/>
      <c r="X19" s="19" t="s">
        <v>3</v>
      </c>
      <c r="Y19" s="19" t="s">
        <v>3</v>
      </c>
      <c r="Z19" s="19" t="s">
        <v>3</v>
      </c>
      <c r="AA19" s="19" t="s">
        <v>3</v>
      </c>
      <c r="AB19" s="19" t="s">
        <v>3</v>
      </c>
      <c r="AC19" s="19"/>
      <c r="AD19" s="19"/>
      <c r="AE19" s="19" t="s">
        <v>3</v>
      </c>
      <c r="AF19" s="26" t="s">
        <v>3</v>
      </c>
    </row>
    <row r="20" spans="1:32" x14ac:dyDescent="0.3">
      <c r="A20" s="25" t="s">
        <v>73</v>
      </c>
      <c r="B20" s="19"/>
      <c r="C20" s="19" t="s">
        <v>3</v>
      </c>
      <c r="D20" s="19" t="s">
        <v>3</v>
      </c>
      <c r="E20" s="19" t="s">
        <v>3</v>
      </c>
      <c r="F20" s="19" t="s">
        <v>3</v>
      </c>
      <c r="G20" s="19" t="s">
        <v>3</v>
      </c>
      <c r="H20" s="19"/>
      <c r="I20" s="19"/>
      <c r="J20" s="19" t="s">
        <v>3</v>
      </c>
      <c r="K20" s="19" t="s">
        <v>3</v>
      </c>
      <c r="L20" s="19" t="s">
        <v>3</v>
      </c>
      <c r="M20" s="19" t="s">
        <v>3</v>
      </c>
      <c r="N20" s="19" t="s">
        <v>3</v>
      </c>
      <c r="O20" s="19"/>
      <c r="P20" s="19"/>
      <c r="Q20" s="19" t="s">
        <v>3</v>
      </c>
      <c r="R20" s="19" t="s">
        <v>3</v>
      </c>
      <c r="S20" s="19" t="s">
        <v>3</v>
      </c>
      <c r="T20" s="19" t="s">
        <v>3</v>
      </c>
      <c r="U20" s="19" t="s">
        <v>3</v>
      </c>
      <c r="V20" s="19"/>
      <c r="W20" s="19"/>
      <c r="X20" s="19" t="s">
        <v>3</v>
      </c>
      <c r="Y20" s="19" t="s">
        <v>3</v>
      </c>
      <c r="Z20" s="19" t="s">
        <v>3</v>
      </c>
      <c r="AA20" s="19" t="s">
        <v>3</v>
      </c>
      <c r="AB20" s="19" t="s">
        <v>3</v>
      </c>
      <c r="AC20" s="19"/>
      <c r="AD20" s="19"/>
      <c r="AE20" s="19" t="s">
        <v>3</v>
      </c>
      <c r="AF20" s="26" t="s">
        <v>3</v>
      </c>
    </row>
    <row r="21" spans="1:32" x14ac:dyDescent="0.3">
      <c r="A21" s="25" t="s">
        <v>9</v>
      </c>
      <c r="B21" s="19"/>
      <c r="C21" s="19" t="s">
        <v>8</v>
      </c>
      <c r="D21" s="19" t="s">
        <v>8</v>
      </c>
      <c r="E21" s="19" t="s">
        <v>8</v>
      </c>
      <c r="F21" s="19" t="s">
        <v>8</v>
      </c>
      <c r="G21" s="19" t="s">
        <v>8</v>
      </c>
      <c r="H21" s="19"/>
      <c r="I21" s="19"/>
      <c r="J21" s="19" t="s">
        <v>8</v>
      </c>
      <c r="K21" s="19" t="s">
        <v>8</v>
      </c>
      <c r="L21" s="19" t="s">
        <v>8</v>
      </c>
      <c r="M21" s="19" t="s">
        <v>8</v>
      </c>
      <c r="N21" s="19" t="s">
        <v>8</v>
      </c>
      <c r="O21" s="19"/>
      <c r="P21" s="19"/>
      <c r="Q21" s="19" t="s">
        <v>8</v>
      </c>
      <c r="R21" s="19" t="s">
        <v>8</v>
      </c>
      <c r="S21" s="19" t="s">
        <v>8</v>
      </c>
      <c r="T21" s="19" t="s">
        <v>8</v>
      </c>
      <c r="U21" s="19" t="s">
        <v>8</v>
      </c>
      <c r="V21" s="19"/>
      <c r="W21" s="19"/>
      <c r="X21" s="19" t="s">
        <v>8</v>
      </c>
      <c r="Y21" s="19" t="s">
        <v>8</v>
      </c>
      <c r="Z21" s="19" t="s">
        <v>8</v>
      </c>
      <c r="AA21" s="19" t="s">
        <v>8</v>
      </c>
      <c r="AB21" s="19" t="s">
        <v>8</v>
      </c>
      <c r="AC21" s="19"/>
      <c r="AD21" s="19"/>
      <c r="AE21" s="19" t="s">
        <v>8</v>
      </c>
      <c r="AF21" s="26" t="s">
        <v>8</v>
      </c>
    </row>
    <row r="22" spans="1:32" x14ac:dyDescent="0.3">
      <c r="A22" s="25" t="s">
        <v>74</v>
      </c>
      <c r="B22" s="19"/>
      <c r="C22" s="19" t="s">
        <v>8</v>
      </c>
      <c r="D22" s="19" t="s">
        <v>8</v>
      </c>
      <c r="E22" s="19" t="s">
        <v>8</v>
      </c>
      <c r="F22" s="19" t="s">
        <v>8</v>
      </c>
      <c r="G22" s="19" t="s">
        <v>8</v>
      </c>
      <c r="H22" s="19"/>
      <c r="I22" s="19"/>
      <c r="J22" s="19" t="s">
        <v>8</v>
      </c>
      <c r="K22" s="19" t="s">
        <v>8</v>
      </c>
      <c r="L22" s="19" t="s">
        <v>8</v>
      </c>
      <c r="M22" s="19" t="s">
        <v>8</v>
      </c>
      <c r="N22" s="19" t="s">
        <v>8</v>
      </c>
      <c r="O22" s="19"/>
      <c r="P22" s="19"/>
      <c r="Q22" s="19" t="s">
        <v>8</v>
      </c>
      <c r="R22" s="19" t="s">
        <v>8</v>
      </c>
      <c r="S22" s="19" t="s">
        <v>8</v>
      </c>
      <c r="T22" s="19" t="s">
        <v>8</v>
      </c>
      <c r="U22" s="19" t="s">
        <v>8</v>
      </c>
      <c r="V22" s="19"/>
      <c r="W22" s="19"/>
      <c r="X22" s="19" t="s">
        <v>8</v>
      </c>
      <c r="Y22" s="19" t="s">
        <v>8</v>
      </c>
      <c r="Z22" s="19" t="s">
        <v>8</v>
      </c>
      <c r="AA22" s="19" t="s">
        <v>8</v>
      </c>
      <c r="AB22" s="19" t="s">
        <v>8</v>
      </c>
      <c r="AC22" s="19"/>
      <c r="AD22" s="19"/>
      <c r="AE22" s="19" t="s">
        <v>8</v>
      </c>
      <c r="AF22" s="26" t="s">
        <v>8</v>
      </c>
    </row>
    <row r="23" spans="1:32" x14ac:dyDescent="0.3">
      <c r="A23" s="25" t="s">
        <v>10</v>
      </c>
      <c r="B23" s="19"/>
      <c r="C23" s="19" t="s">
        <v>11</v>
      </c>
      <c r="D23" s="19" t="s">
        <v>11</v>
      </c>
      <c r="E23" s="19" t="s">
        <v>11</v>
      </c>
      <c r="F23" s="19" t="s">
        <v>11</v>
      </c>
      <c r="G23" s="19" t="s">
        <v>11</v>
      </c>
      <c r="H23" s="19"/>
      <c r="I23" s="19"/>
      <c r="J23" s="19" t="s">
        <v>11</v>
      </c>
      <c r="K23" s="19" t="s">
        <v>11</v>
      </c>
      <c r="L23" s="19" t="s">
        <v>11</v>
      </c>
      <c r="M23" s="19" t="s">
        <v>11</v>
      </c>
      <c r="N23" s="19" t="s">
        <v>11</v>
      </c>
      <c r="O23" s="19"/>
      <c r="P23" s="19"/>
      <c r="Q23" s="19" t="s">
        <v>11</v>
      </c>
      <c r="R23" s="19" t="s">
        <v>11</v>
      </c>
      <c r="S23" s="19" t="s">
        <v>11</v>
      </c>
      <c r="T23" s="19" t="s">
        <v>11</v>
      </c>
      <c r="U23" s="19" t="s">
        <v>11</v>
      </c>
      <c r="V23" s="19"/>
      <c r="W23" s="19"/>
      <c r="X23" s="19" t="s">
        <v>11</v>
      </c>
      <c r="Y23" s="19" t="s">
        <v>11</v>
      </c>
      <c r="Z23" s="19" t="s">
        <v>11</v>
      </c>
      <c r="AA23" s="19" t="s">
        <v>11</v>
      </c>
      <c r="AB23" s="19" t="s">
        <v>11</v>
      </c>
      <c r="AC23" s="19"/>
      <c r="AD23" s="19"/>
      <c r="AE23" s="19" t="s">
        <v>11</v>
      </c>
      <c r="AF23" s="26" t="s">
        <v>11</v>
      </c>
    </row>
    <row r="24" spans="1:32" ht="15" thickBot="1" x14ac:dyDescent="0.35">
      <c r="A24" s="27" t="s">
        <v>12</v>
      </c>
      <c r="B24" s="28"/>
      <c r="C24" s="28" t="s">
        <v>11</v>
      </c>
      <c r="D24" s="28" t="s">
        <v>11</v>
      </c>
      <c r="E24" s="28" t="s">
        <v>11</v>
      </c>
      <c r="F24" s="28" t="s">
        <v>11</v>
      </c>
      <c r="G24" s="28" t="s">
        <v>11</v>
      </c>
      <c r="H24" s="28"/>
      <c r="I24" s="28"/>
      <c r="J24" s="28" t="s">
        <v>11</v>
      </c>
      <c r="K24" s="28" t="s">
        <v>11</v>
      </c>
      <c r="L24" s="28" t="s">
        <v>11</v>
      </c>
      <c r="M24" s="28" t="s">
        <v>11</v>
      </c>
      <c r="N24" s="28" t="s">
        <v>11</v>
      </c>
      <c r="O24" s="28"/>
      <c r="P24" s="28"/>
      <c r="Q24" s="28" t="s">
        <v>11</v>
      </c>
      <c r="R24" s="28" t="s">
        <v>11</v>
      </c>
      <c r="S24" s="28" t="s">
        <v>11</v>
      </c>
      <c r="T24" s="28" t="s">
        <v>11</v>
      </c>
      <c r="U24" s="28" t="s">
        <v>11</v>
      </c>
      <c r="V24" s="28"/>
      <c r="W24" s="28"/>
      <c r="X24" s="28" t="s">
        <v>11</v>
      </c>
      <c r="Y24" s="28" t="s">
        <v>11</v>
      </c>
      <c r="Z24" s="28" t="s">
        <v>11</v>
      </c>
      <c r="AA24" s="28" t="s">
        <v>11</v>
      </c>
      <c r="AB24" s="28" t="s">
        <v>11</v>
      </c>
      <c r="AC24" s="28"/>
      <c r="AD24" s="28"/>
      <c r="AE24" s="28" t="s">
        <v>11</v>
      </c>
      <c r="AF24" s="29" t="s">
        <v>11</v>
      </c>
    </row>
    <row r="25" spans="1:3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</sheetData>
  <mergeCells count="40">
    <mergeCell ref="S5:U5"/>
    <mergeCell ref="V5:X5"/>
    <mergeCell ref="Z5:AD5"/>
    <mergeCell ref="B6:C6"/>
    <mergeCell ref="D6:G6"/>
    <mergeCell ref="H6:I6"/>
    <mergeCell ref="P6:R6"/>
    <mergeCell ref="S6:U6"/>
    <mergeCell ref="V6:X6"/>
    <mergeCell ref="AA6:AB6"/>
    <mergeCell ref="B5:C5"/>
    <mergeCell ref="D5:G5"/>
    <mergeCell ref="H5:I5"/>
    <mergeCell ref="M5:M7"/>
    <mergeCell ref="N5:O7"/>
    <mergeCell ref="P5:R5"/>
    <mergeCell ref="AC6:AD6"/>
    <mergeCell ref="B7:C7"/>
    <mergeCell ref="D7:G7"/>
    <mergeCell ref="H7:I7"/>
    <mergeCell ref="P7:R7"/>
    <mergeCell ref="S7:U7"/>
    <mergeCell ref="V7:X7"/>
    <mergeCell ref="AA7:AB7"/>
    <mergeCell ref="AC7:AD7"/>
    <mergeCell ref="A15:A16"/>
    <mergeCell ref="H10:I10"/>
    <mergeCell ref="A14:AF14"/>
    <mergeCell ref="AC8:AD8"/>
    <mergeCell ref="H9:I9"/>
    <mergeCell ref="N9:O9"/>
    <mergeCell ref="P9:R9"/>
    <mergeCell ref="S9:U9"/>
    <mergeCell ref="V9:X9"/>
    <mergeCell ref="H8:I8"/>
    <mergeCell ref="N8:O8"/>
    <mergeCell ref="P8:R8"/>
    <mergeCell ref="S8:U8"/>
    <mergeCell ref="V8:X8"/>
    <mergeCell ref="AA8:AB8"/>
  </mergeCells>
  <conditionalFormatting sqref="B3:AF3">
    <cfRule type="containsText" dxfId="945" priority="49" operator="containsText" text="FE">
      <formula>NOT(ISERROR(SEARCH("FE",B3)))</formula>
    </cfRule>
  </conditionalFormatting>
  <conditionalFormatting sqref="B17:AF24">
    <cfRule type="containsText" dxfId="944" priority="12" operator="containsText" text="HB">
      <formula>NOT(ISERROR(SEARCH("HB",B17)))</formula>
    </cfRule>
    <cfRule type="containsText" dxfId="943" priority="33" operator="containsText" text="OT">
      <formula>NOT(ISERROR(SEARCH("OT",B17)))</formula>
    </cfRule>
    <cfRule type="containsText" dxfId="942" priority="34" operator="containsText" text="SD">
      <formula>NOT(ISERROR(SEARCH("SD",B17)))</formula>
    </cfRule>
    <cfRule type="containsText" dxfId="941" priority="35" operator="containsText" text="E3">
      <formula>NOT(ISERROR(SEARCH("E3",B17)))</formula>
    </cfRule>
    <cfRule type="containsText" dxfId="940" priority="36" operator="containsText" text="E2">
      <formula>NOT(ISERROR(SEARCH("E2",B17)))</formula>
    </cfRule>
    <cfRule type="containsText" dxfId="939" priority="37" operator="containsText" text="E1">
      <formula>NOT(ISERROR(SEARCH("E1",B17)))</formula>
    </cfRule>
    <cfRule type="containsText" dxfId="938" priority="44" operator="containsText" text="DO">
      <formula>NOT(ISERROR(SEARCH("DO",B17)))</formula>
    </cfRule>
    <cfRule type="containsText" dxfId="937" priority="45" operator="containsText" text="VA">
      <formula>NOT(ISERROR(SEARCH("VA",B17)))</formula>
    </cfRule>
    <cfRule type="containsText" dxfId="936" priority="46" operator="containsText" text="T1">
      <formula>NOT(ISERROR(SEARCH("T1",B17)))</formula>
    </cfRule>
    <cfRule type="containsText" dxfId="935" priority="47" operator="containsText" text="T2">
      <formula>NOT(ISERROR(SEARCH("T2",B17)))</formula>
    </cfRule>
    <cfRule type="containsText" dxfId="934" priority="48" operator="containsText" text="T3">
      <formula>NOT(ISERROR(SEARCH("T3",B17)))</formula>
    </cfRule>
  </conditionalFormatting>
  <conditionalFormatting sqref="B15:AF15">
    <cfRule type="containsText" dxfId="933" priority="42" operator="containsText" text="DOM">
      <formula>NOT(ISERROR(SEARCH("DOM",B15)))</formula>
    </cfRule>
    <cfRule type="containsText" dxfId="932" priority="43" operator="containsText" text="SÁB">
      <formula>NOT(ISERROR(SEARCH("SÁB",B15)))</formula>
    </cfRule>
  </conditionalFormatting>
  <conditionalFormatting sqref="J7">
    <cfRule type="containsText" dxfId="931" priority="41" operator="containsText" text="FE">
      <formula>NOT(ISERROR(SEARCH("FE",J7)))</formula>
    </cfRule>
  </conditionalFormatting>
  <conditionalFormatting sqref="M5">
    <cfRule type="containsText" dxfId="930" priority="38" operator="containsText" text="T3">
      <formula>NOT(ISERROR(SEARCH("T3",M5)))</formula>
    </cfRule>
    <cfRule type="containsText" dxfId="929" priority="39" operator="containsText" text="T2">
      <formula>NOT(ISERROR(SEARCH("T2",M5)))</formula>
    </cfRule>
    <cfRule type="containsText" dxfId="928" priority="40" operator="containsText" text="T1">
      <formula>NOT(ISERROR(SEARCH("T1",M5)))</formula>
    </cfRule>
  </conditionalFormatting>
  <conditionalFormatting sqref="B16">
    <cfRule type="expression" dxfId="927" priority="50">
      <formula>$B$3="FE"</formula>
    </cfRule>
  </conditionalFormatting>
  <conditionalFormatting sqref="C16">
    <cfRule type="expression" dxfId="926" priority="51">
      <formula>$C$3="FE"</formula>
    </cfRule>
    <cfRule type="expression" dxfId="925" priority="52">
      <formula>$C$3="FE"</formula>
    </cfRule>
  </conditionalFormatting>
  <conditionalFormatting sqref="D16">
    <cfRule type="expression" dxfId="924" priority="53">
      <formula>$D$3="FE"</formula>
    </cfRule>
    <cfRule type="expression" dxfId="923" priority="54">
      <formula>$D$3="FE"</formula>
    </cfRule>
  </conditionalFormatting>
  <conditionalFormatting sqref="F16">
    <cfRule type="expression" dxfId="922" priority="55">
      <formula>$F$3="FE"</formula>
    </cfRule>
    <cfRule type="expression" dxfId="921" priority="56">
      <formula>$F$3="FE"</formula>
    </cfRule>
  </conditionalFormatting>
  <conditionalFormatting sqref="G16">
    <cfRule type="expression" dxfId="920" priority="57">
      <formula>$G$3="FE"</formula>
    </cfRule>
    <cfRule type="expression" dxfId="919" priority="58">
      <formula>$G$3="FE"</formula>
    </cfRule>
  </conditionalFormatting>
  <conditionalFormatting sqref="H16">
    <cfRule type="expression" dxfId="918" priority="59">
      <formula>$H$3="FE"</formula>
    </cfRule>
  </conditionalFormatting>
  <conditionalFormatting sqref="I16">
    <cfRule type="expression" dxfId="917" priority="60">
      <formula>$I$3="FE"</formula>
    </cfRule>
    <cfRule type="expression" dxfId="916" priority="61">
      <formula>$I$3="FE"</formula>
    </cfRule>
  </conditionalFormatting>
  <conditionalFormatting sqref="J16">
    <cfRule type="expression" dxfId="915" priority="62">
      <formula>$J$3="FE"</formula>
    </cfRule>
    <cfRule type="expression" dxfId="914" priority="63">
      <formula>$J$3="FE"</formula>
    </cfRule>
  </conditionalFormatting>
  <conditionalFormatting sqref="K16">
    <cfRule type="expression" dxfId="913" priority="64">
      <formula>$K$3="FE"</formula>
    </cfRule>
  </conditionalFormatting>
  <conditionalFormatting sqref="L16">
    <cfRule type="expression" dxfId="912" priority="65">
      <formula>$L$3="FE"</formula>
    </cfRule>
  </conditionalFormatting>
  <conditionalFormatting sqref="M16">
    <cfRule type="expression" dxfId="911" priority="66">
      <formula>$M$3="FE"</formula>
    </cfRule>
  </conditionalFormatting>
  <conditionalFormatting sqref="N16">
    <cfRule type="expression" dxfId="910" priority="67">
      <formula>$N$3="FE"</formula>
    </cfRule>
  </conditionalFormatting>
  <conditionalFormatting sqref="O16">
    <cfRule type="expression" dxfId="909" priority="68">
      <formula>$O$3="FE"</formula>
    </cfRule>
  </conditionalFormatting>
  <conditionalFormatting sqref="P16">
    <cfRule type="expression" dxfId="908" priority="69">
      <formula>$P$3="FE"</formula>
    </cfRule>
  </conditionalFormatting>
  <conditionalFormatting sqref="Q16">
    <cfRule type="expression" dxfId="907" priority="70">
      <formula>$Q$3="FE"</formula>
    </cfRule>
  </conditionalFormatting>
  <conditionalFormatting sqref="R16">
    <cfRule type="expression" dxfId="906" priority="71">
      <formula>$R$3="FE"</formula>
    </cfRule>
  </conditionalFormatting>
  <conditionalFormatting sqref="S16">
    <cfRule type="expression" dxfId="905" priority="72">
      <formula>$S$3="FE"</formula>
    </cfRule>
  </conditionalFormatting>
  <conditionalFormatting sqref="T16">
    <cfRule type="expression" dxfId="904" priority="73">
      <formula>$T$3="FE"</formula>
    </cfRule>
  </conditionalFormatting>
  <conditionalFormatting sqref="U16">
    <cfRule type="expression" dxfId="903" priority="74">
      <formula>$U$3="FE"</formula>
    </cfRule>
  </conditionalFormatting>
  <conditionalFormatting sqref="V16">
    <cfRule type="expression" dxfId="902" priority="75">
      <formula>$V$3="FE"</formula>
    </cfRule>
  </conditionalFormatting>
  <conditionalFormatting sqref="W16">
    <cfRule type="expression" dxfId="901" priority="76">
      <formula>$W$3="FE"</formula>
    </cfRule>
  </conditionalFormatting>
  <conditionalFormatting sqref="X16">
    <cfRule type="expression" dxfId="900" priority="77">
      <formula>$X$3="FE"</formula>
    </cfRule>
  </conditionalFormatting>
  <conditionalFormatting sqref="Y16">
    <cfRule type="expression" dxfId="899" priority="78">
      <formula>$Y$3="FE"</formula>
    </cfRule>
  </conditionalFormatting>
  <conditionalFormatting sqref="Z16">
    <cfRule type="expression" dxfId="898" priority="79">
      <formula>$Z$3="FE"</formula>
    </cfRule>
  </conditionalFormatting>
  <conditionalFormatting sqref="AA16">
    <cfRule type="expression" dxfId="897" priority="80">
      <formula>$AA$3="FE"</formula>
    </cfRule>
  </conditionalFormatting>
  <conditionalFormatting sqref="AB16">
    <cfRule type="expression" dxfId="896" priority="81">
      <formula>$AB$3="FE"</formula>
    </cfRule>
  </conditionalFormatting>
  <conditionalFormatting sqref="AC16">
    <cfRule type="expression" dxfId="895" priority="82">
      <formula>$AC$3="FE"</formula>
    </cfRule>
  </conditionalFormatting>
  <conditionalFormatting sqref="AD16">
    <cfRule type="expression" dxfId="894" priority="83">
      <formula>$AD$3="FE"</formula>
    </cfRule>
  </conditionalFormatting>
  <conditionalFormatting sqref="AE16">
    <cfRule type="expression" dxfId="893" priority="84">
      <formula>$AE$3="FE"</formula>
    </cfRule>
  </conditionalFormatting>
  <conditionalFormatting sqref="AF16">
    <cfRule type="expression" dxfId="892" priority="85">
      <formula>$AF$3="FE"</formula>
    </cfRule>
  </conditionalFormatting>
  <conditionalFormatting sqref="E16">
    <cfRule type="expression" dxfId="891" priority="86">
      <formula>$E$3="FE"</formula>
    </cfRule>
  </conditionalFormatting>
  <conditionalFormatting sqref="Z6:Z8 J5 J8:J10">
    <cfRule type="containsText" dxfId="890" priority="23" operator="containsText" text="OT">
      <formula>NOT(ISERROR(SEARCH("OT",J5)))</formula>
    </cfRule>
    <cfRule type="containsText" dxfId="889" priority="24" operator="containsText" text="SD">
      <formula>NOT(ISERROR(SEARCH("SD",J5)))</formula>
    </cfRule>
    <cfRule type="containsText" dxfId="888" priority="25" operator="containsText" text="E3">
      <formula>NOT(ISERROR(SEARCH("E3",J5)))</formula>
    </cfRule>
    <cfRule type="containsText" dxfId="887" priority="26" operator="containsText" text="E2">
      <formula>NOT(ISERROR(SEARCH("E2",J5)))</formula>
    </cfRule>
    <cfRule type="containsText" dxfId="886" priority="27" operator="containsText" text="E1">
      <formula>NOT(ISERROR(SEARCH("E1",J5)))</formula>
    </cfRule>
    <cfRule type="containsText" dxfId="885" priority="28" operator="containsText" text="DO">
      <formula>NOT(ISERROR(SEARCH("DO",J5)))</formula>
    </cfRule>
    <cfRule type="containsText" dxfId="884" priority="29" operator="containsText" text="VA">
      <formula>NOT(ISERROR(SEARCH("VA",J5)))</formula>
    </cfRule>
    <cfRule type="containsText" dxfId="883" priority="30" operator="containsText" text="T1">
      <formula>NOT(ISERROR(SEARCH("T1",J5)))</formula>
    </cfRule>
    <cfRule type="containsText" dxfId="882" priority="31" operator="containsText" text="T2">
      <formula>NOT(ISERROR(SEARCH("T2",J5)))</formula>
    </cfRule>
    <cfRule type="containsText" dxfId="881" priority="32" operator="containsText" text="T3">
      <formula>NOT(ISERROR(SEARCH("T3",J5)))</formula>
    </cfRule>
  </conditionalFormatting>
  <conditionalFormatting sqref="M8:M9">
    <cfRule type="containsText" dxfId="880" priority="13" operator="containsText" text="OT">
      <formula>NOT(ISERROR(SEARCH("OT",M8)))</formula>
    </cfRule>
    <cfRule type="containsText" dxfId="879" priority="14" operator="containsText" text="SD">
      <formula>NOT(ISERROR(SEARCH("SD",M8)))</formula>
    </cfRule>
    <cfRule type="containsText" dxfId="878" priority="15" operator="containsText" text="E3">
      <formula>NOT(ISERROR(SEARCH("E3",M8)))</formula>
    </cfRule>
    <cfRule type="containsText" dxfId="877" priority="16" operator="containsText" text="E2">
      <formula>NOT(ISERROR(SEARCH("E2",M8)))</formula>
    </cfRule>
    <cfRule type="containsText" dxfId="876" priority="17" operator="containsText" text="E1">
      <formula>NOT(ISERROR(SEARCH("E1",M8)))</formula>
    </cfRule>
    <cfRule type="containsText" dxfId="875" priority="18" operator="containsText" text="DO">
      <formula>NOT(ISERROR(SEARCH("DO",M8)))</formula>
    </cfRule>
    <cfRule type="containsText" dxfId="874" priority="19" operator="containsText" text="VA">
      <formula>NOT(ISERROR(SEARCH("VA",M8)))</formula>
    </cfRule>
    <cfRule type="containsText" dxfId="873" priority="20" operator="containsText" text="T1">
      <formula>NOT(ISERROR(SEARCH("T1",M8)))</formula>
    </cfRule>
    <cfRule type="containsText" dxfId="872" priority="21" operator="containsText" text="T2">
      <formula>NOT(ISERROR(SEARCH("T2",M8)))</formula>
    </cfRule>
    <cfRule type="containsText" dxfId="871" priority="22" operator="containsText" text="T3">
      <formula>NOT(ISERROR(SEARCH("T3",M8)))</formula>
    </cfRule>
  </conditionalFormatting>
  <conditionalFormatting sqref="J6">
    <cfRule type="containsText" dxfId="870" priority="1" operator="containsText" text="HB">
      <formula>NOT(ISERROR(SEARCH("HB",J6)))</formula>
    </cfRule>
    <cfRule type="containsText" dxfId="869" priority="2" operator="containsText" text="OT">
      <formula>NOT(ISERROR(SEARCH("OT",J6)))</formula>
    </cfRule>
    <cfRule type="containsText" dxfId="868" priority="3" operator="containsText" text="SD">
      <formula>NOT(ISERROR(SEARCH("SD",J6)))</formula>
    </cfRule>
    <cfRule type="containsText" dxfId="867" priority="4" operator="containsText" text="E3">
      <formula>NOT(ISERROR(SEARCH("E3",J6)))</formula>
    </cfRule>
    <cfRule type="containsText" dxfId="866" priority="5" operator="containsText" text="E2">
      <formula>NOT(ISERROR(SEARCH("E2",J6)))</formula>
    </cfRule>
    <cfRule type="containsText" dxfId="865" priority="6" operator="containsText" text="E1">
      <formula>NOT(ISERROR(SEARCH("E1",J6)))</formula>
    </cfRule>
    <cfRule type="containsText" dxfId="864" priority="7" operator="containsText" text="DO">
      <formula>NOT(ISERROR(SEARCH("DO",J6)))</formula>
    </cfRule>
    <cfRule type="containsText" dxfId="863" priority="8" operator="containsText" text="VA">
      <formula>NOT(ISERROR(SEARCH("VA",J6)))</formula>
    </cfRule>
    <cfRule type="containsText" dxfId="862" priority="9" operator="containsText" text="T1">
      <formula>NOT(ISERROR(SEARCH("T1",J6)))</formula>
    </cfRule>
    <cfRule type="containsText" dxfId="861" priority="10" operator="containsText" text="T2">
      <formula>NOT(ISERROR(SEARCH("T2",J6)))</formula>
    </cfRule>
    <cfRule type="containsText" dxfId="860" priority="11" operator="containsText" text="T3">
      <formula>NOT(ISERROR(SEARCH("T3",J6)))</formula>
    </cfRule>
  </conditionalFormatting>
  <dataValidations count="1">
    <dataValidation type="list" allowBlank="1" showInputMessage="1" showErrorMessage="1" sqref="M5" xr:uid="{D2BB8BA3-36E8-49EC-A31C-B65F7A6ABE25}">
      <formula1>#REF!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8875977-4E27-4FF0-9FDC-67052B0F4249}">
          <x14:formula1>
            <xm:f>Configuração!$N$7:$N$23</xm:f>
          </x14:formula1>
          <xm:sqref>AC6:AD8</xm:sqref>
        </x14:dataValidation>
        <x14:dataValidation type="list" allowBlank="1" showInputMessage="1" showErrorMessage="1" xr:uid="{6A601099-20E4-4D0E-9EA6-D79BE36A2398}">
          <x14:formula1>
            <xm:f>Configuração!$N$7:$N$1048576</xm:f>
          </x14:formula1>
          <xm:sqref>P5:P9</xm:sqref>
        </x14:dataValidation>
        <x14:dataValidation type="list" allowBlank="1" showInputMessage="1" showErrorMessage="1" xr:uid="{19425380-4DE9-4E9C-BDB0-E087C6E34090}">
          <x14:formula1>
            <xm:f>Configuração!$U$7:$U$17</xm:f>
          </x14:formula1>
          <xm:sqref>J6</xm:sqref>
        </x14:dataValidation>
        <x14:dataValidation type="list" allowBlank="1" showInputMessage="1" showErrorMessage="1" xr:uid="{D5EE5FAC-E3D6-485D-B71B-28BC667C3048}">
          <x14:formula1>
            <xm:f>Configuração!$U$7:$U$16</xm:f>
          </x14:formula1>
          <xm:sqref>Z6:Z8 J8:J10 J5 M8:M9</xm:sqref>
        </x14:dataValidation>
        <x14:dataValidation type="list" allowBlank="1" showInputMessage="1" showErrorMessage="1" xr:uid="{FDF15023-EEB5-455F-9F8C-EF51714F4399}">
          <x14:formula1>
            <xm:f>Configuração!$L$7:$L$27</xm:f>
          </x14:formula1>
          <xm:sqref>S5:X9 A17:A24</xm:sqref>
        </x14:dataValidation>
        <x14:dataValidation type="list" allowBlank="1" showInputMessage="1" showErrorMessage="1" xr:uid="{4DEE2FE2-73E6-4F20-874E-F8BD2C7370B9}">
          <x14:formula1>
            <xm:f>Configuração!$Q$6:$Q$56</xm:f>
          </x14:formula1>
          <xm:sqref>D5:G5</xm:sqref>
        </x14:dataValidation>
        <x14:dataValidation type="list" allowBlank="1" showInputMessage="1" showErrorMessage="1" xr:uid="{3C617B42-5E6B-4C0D-AEB4-BB13F94361EF}">
          <x14:formula1>
            <xm:f>Configuração!$U$7:$U$22</xm:f>
          </x14:formula1>
          <xm:sqref>B17:AF37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F2562-67D6-4581-989D-44C88047AD40}">
  <sheetPr codeName="Planilha6"/>
  <dimension ref="A1:AF40"/>
  <sheetViews>
    <sheetView tabSelected="1" zoomScale="90" zoomScaleNormal="90" workbookViewId="0">
      <selection activeCell="AG1" sqref="AG1"/>
    </sheetView>
  </sheetViews>
  <sheetFormatPr defaultRowHeight="14.4" x14ac:dyDescent="0.3"/>
  <cols>
    <col min="1" max="1" width="11.77734375" bestFit="1" customWidth="1"/>
    <col min="2" max="32" width="6.6640625" customWidth="1"/>
  </cols>
  <sheetData>
    <row r="1" spans="1:32" ht="31.2" x14ac:dyDescent="0.3">
      <c r="A1" s="12"/>
      <c r="B1" s="12"/>
      <c r="C1" s="12"/>
      <c r="D1" s="12"/>
      <c r="E1" s="13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 ht="78.45" customHeight="1" x14ac:dyDescent="0.3">
      <c r="A2" s="14"/>
      <c r="B2" s="14"/>
      <c r="C2" s="14"/>
      <c r="D2" s="14"/>
      <c r="E2" s="1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32" ht="15" hidden="1" thickBot="1" x14ac:dyDescent="0.35">
      <c r="A3" s="8" t="s">
        <v>13</v>
      </c>
      <c r="B3" s="9" t="str">
        <f>IF(MONTH(D5)=5,"FE",IF(MONTH(D5)=1,"FE",""))</f>
        <v/>
      </c>
      <c r="C3" s="10" t="str">
        <f>IF(MONTH(D5)=11,"FE","")</f>
        <v/>
      </c>
      <c r="D3" s="10"/>
      <c r="E3" s="10"/>
      <c r="F3" s="10"/>
      <c r="G3" s="10"/>
      <c r="H3" s="10" t="str">
        <f>IF(MONTH(D5)=9,"FE","")</f>
        <v/>
      </c>
      <c r="I3" s="10"/>
      <c r="J3" s="10"/>
      <c r="K3" s="10"/>
      <c r="L3" s="10"/>
      <c r="M3" s="10" t="str">
        <f>IF(MONTH(D5)=10,"FE","")</f>
        <v/>
      </c>
      <c r="N3" s="10"/>
      <c r="O3" s="10"/>
      <c r="P3" s="10" t="str">
        <f>IF(MONTH(D5)=11,"FE","")</f>
        <v/>
      </c>
      <c r="Q3" s="10"/>
      <c r="R3" s="10"/>
      <c r="S3" s="10"/>
      <c r="T3" s="10"/>
      <c r="U3" s="10" t="str">
        <f>IF(MONTH(D5)=11,"FE","")</f>
        <v/>
      </c>
      <c r="V3" s="10" t="str">
        <f>IF(MONTH(D5)=4,"FE","")</f>
        <v/>
      </c>
      <c r="W3" s="10"/>
      <c r="X3" s="10"/>
      <c r="Y3" s="10"/>
      <c r="Z3" s="10" t="str">
        <f>IF(MONTH(D5)=12,"FE",IF(MONTH(D5)=1,"FE",""))</f>
        <v/>
      </c>
      <c r="AA3" s="10"/>
      <c r="AB3" s="10"/>
      <c r="AC3" s="10"/>
      <c r="AD3" s="10"/>
      <c r="AE3" s="10" t="str">
        <f>IF(MONTH(D5)=5,"FE","")</f>
        <v/>
      </c>
      <c r="AF3" s="11"/>
    </row>
    <row r="4" spans="1:3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3">
      <c r="A5" s="1"/>
      <c r="B5" s="72" t="s">
        <v>14</v>
      </c>
      <c r="C5" s="72"/>
      <c r="D5" s="73">
        <v>46082</v>
      </c>
      <c r="E5" s="73"/>
      <c r="F5" s="73"/>
      <c r="G5" s="73"/>
      <c r="H5" s="81" t="s">
        <v>68</v>
      </c>
      <c r="I5" s="82"/>
      <c r="J5" s="17" t="s">
        <v>67</v>
      </c>
      <c r="K5" s="1"/>
      <c r="L5" s="1"/>
      <c r="M5" s="76" t="s">
        <v>3</v>
      </c>
      <c r="N5" s="77" t="s">
        <v>17</v>
      </c>
      <c r="O5" s="77"/>
      <c r="P5" s="75" t="s">
        <v>83</v>
      </c>
      <c r="Q5" s="75"/>
      <c r="R5" s="75"/>
      <c r="S5" s="75" t="s">
        <v>7</v>
      </c>
      <c r="T5" s="75"/>
      <c r="U5" s="75"/>
      <c r="V5" s="75" t="s">
        <v>80</v>
      </c>
      <c r="W5" s="75"/>
      <c r="X5" s="75"/>
      <c r="Y5" s="1"/>
      <c r="Z5" s="80" t="s">
        <v>18</v>
      </c>
      <c r="AA5" s="80"/>
      <c r="AB5" s="80"/>
      <c r="AC5" s="80"/>
      <c r="AD5" s="80"/>
      <c r="AE5" s="1"/>
      <c r="AF5" s="1"/>
    </row>
    <row r="6" spans="1:32" x14ac:dyDescent="0.3">
      <c r="A6" s="1"/>
      <c r="B6" s="72" t="s">
        <v>19</v>
      </c>
      <c r="C6" s="72"/>
      <c r="D6" s="74">
        <f>EOMONTH(D5,0)</f>
        <v>46112</v>
      </c>
      <c r="E6" s="74"/>
      <c r="F6" s="74"/>
      <c r="G6" s="74"/>
      <c r="H6" s="81" t="s">
        <v>82</v>
      </c>
      <c r="I6" s="82"/>
      <c r="J6" s="18" t="s">
        <v>81</v>
      </c>
      <c r="K6" s="1"/>
      <c r="L6" s="1"/>
      <c r="M6" s="76"/>
      <c r="N6" s="77"/>
      <c r="O6" s="77"/>
      <c r="P6" s="75" t="s">
        <v>94</v>
      </c>
      <c r="Q6" s="75"/>
      <c r="R6" s="75"/>
      <c r="S6" s="75" t="s">
        <v>6</v>
      </c>
      <c r="T6" s="75"/>
      <c r="U6" s="75"/>
      <c r="V6" s="75"/>
      <c r="W6" s="75"/>
      <c r="X6" s="75"/>
      <c r="Y6" s="1"/>
      <c r="Z6" s="19" t="s">
        <v>22</v>
      </c>
      <c r="AA6" s="77" t="s">
        <v>23</v>
      </c>
      <c r="AB6" s="77"/>
      <c r="AC6" s="75" t="s">
        <v>83</v>
      </c>
      <c r="AD6" s="75"/>
      <c r="AE6" s="1"/>
      <c r="AF6" s="1"/>
    </row>
    <row r="7" spans="1:32" x14ac:dyDescent="0.3">
      <c r="A7" s="1"/>
      <c r="B7" s="72" t="s">
        <v>24</v>
      </c>
      <c r="C7" s="72"/>
      <c r="D7" s="75">
        <f>DAY(D6)</f>
        <v>31</v>
      </c>
      <c r="E7" s="75"/>
      <c r="F7" s="75"/>
      <c r="G7" s="75"/>
      <c r="H7" s="78" t="s">
        <v>25</v>
      </c>
      <c r="I7" s="79"/>
      <c r="J7" s="19" t="s">
        <v>26</v>
      </c>
      <c r="K7" s="1"/>
      <c r="L7" s="1"/>
      <c r="M7" s="76"/>
      <c r="N7" s="77"/>
      <c r="O7" s="77"/>
      <c r="P7" s="75" t="s">
        <v>27</v>
      </c>
      <c r="Q7" s="75"/>
      <c r="R7" s="75"/>
      <c r="S7" s="75" t="s">
        <v>73</v>
      </c>
      <c r="T7" s="75"/>
      <c r="U7" s="75"/>
      <c r="V7" s="75"/>
      <c r="W7" s="75"/>
      <c r="X7" s="75"/>
      <c r="Y7" s="1"/>
      <c r="Z7" s="19" t="s">
        <v>28</v>
      </c>
      <c r="AA7" s="77" t="s">
        <v>29</v>
      </c>
      <c r="AB7" s="77"/>
      <c r="AC7" s="75" t="s">
        <v>30</v>
      </c>
      <c r="AD7" s="75"/>
      <c r="AE7" s="1"/>
      <c r="AF7" s="1"/>
    </row>
    <row r="8" spans="1:32" x14ac:dyDescent="0.3">
      <c r="A8" s="1"/>
      <c r="B8" s="1"/>
      <c r="C8" s="1"/>
      <c r="D8" s="1"/>
      <c r="E8" s="1"/>
      <c r="F8" s="1"/>
      <c r="G8" s="1"/>
      <c r="H8" s="78" t="s">
        <v>15</v>
      </c>
      <c r="I8" s="79"/>
      <c r="J8" s="19" t="s">
        <v>16</v>
      </c>
      <c r="K8" s="1"/>
      <c r="L8" s="1"/>
      <c r="M8" s="19" t="s">
        <v>8</v>
      </c>
      <c r="N8" s="77" t="s">
        <v>29</v>
      </c>
      <c r="O8" s="77"/>
      <c r="P8" s="75" t="s">
        <v>30</v>
      </c>
      <c r="Q8" s="75"/>
      <c r="R8" s="75"/>
      <c r="S8" s="75" t="s">
        <v>9</v>
      </c>
      <c r="T8" s="75"/>
      <c r="U8" s="75"/>
      <c r="V8" s="75" t="s">
        <v>74</v>
      </c>
      <c r="W8" s="75"/>
      <c r="X8" s="75"/>
      <c r="Y8" s="1"/>
      <c r="Z8" s="19" t="s">
        <v>31</v>
      </c>
      <c r="AA8" s="77" t="s">
        <v>32</v>
      </c>
      <c r="AB8" s="77"/>
      <c r="AC8" s="75" t="s">
        <v>84</v>
      </c>
      <c r="AD8" s="75"/>
      <c r="AE8" s="1"/>
      <c r="AF8" s="1"/>
    </row>
    <row r="9" spans="1:32" x14ac:dyDescent="0.3">
      <c r="A9" s="1"/>
      <c r="B9" s="1"/>
      <c r="C9" s="1"/>
      <c r="D9" s="1"/>
      <c r="E9" s="1"/>
      <c r="F9" s="1"/>
      <c r="G9" s="1"/>
      <c r="H9" s="78" t="s">
        <v>20</v>
      </c>
      <c r="I9" s="79"/>
      <c r="J9" s="19" t="s">
        <v>21</v>
      </c>
      <c r="K9" s="1"/>
      <c r="L9" s="1"/>
      <c r="M9" s="19" t="s">
        <v>11</v>
      </c>
      <c r="N9" s="77" t="s">
        <v>33</v>
      </c>
      <c r="O9" s="77"/>
      <c r="P9" s="75" t="s">
        <v>84</v>
      </c>
      <c r="Q9" s="75"/>
      <c r="R9" s="75"/>
      <c r="S9" s="75" t="s">
        <v>10</v>
      </c>
      <c r="T9" s="75"/>
      <c r="U9" s="75"/>
      <c r="V9" s="75" t="s">
        <v>12</v>
      </c>
      <c r="W9" s="75"/>
      <c r="X9" s="75"/>
      <c r="Y9" s="1"/>
      <c r="Z9" s="1"/>
      <c r="AA9" s="1"/>
      <c r="AB9" s="1"/>
      <c r="AC9" s="1"/>
      <c r="AD9" s="1"/>
      <c r="AE9" s="1"/>
      <c r="AF9" s="1"/>
    </row>
    <row r="10" spans="1:32" x14ac:dyDescent="0.3">
      <c r="A10" s="1"/>
      <c r="B10" s="1"/>
      <c r="C10" s="1"/>
      <c r="D10" s="1"/>
      <c r="E10" s="1"/>
      <c r="F10" s="1"/>
      <c r="G10" s="1"/>
      <c r="H10" s="81" t="s">
        <v>70</v>
      </c>
      <c r="I10" s="82"/>
      <c r="J10" s="19" t="s">
        <v>69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22.8" x14ac:dyDescent="0.3">
      <c r="A14" s="69" t="s">
        <v>0</v>
      </c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1"/>
    </row>
    <row r="15" spans="1:32" x14ac:dyDescent="0.3">
      <c r="A15" s="114" t="s">
        <v>1</v>
      </c>
      <c r="B15" s="20" t="str">
        <f>UPPER(TEXT(B16,"[$]ddd"))</f>
        <v>DOM</v>
      </c>
      <c r="C15" s="20" t="str">
        <f t="shared" ref="C15:AF15" si="0">UPPER(TEXT(C16,"[$]ddd"))</f>
        <v>SEG</v>
      </c>
      <c r="D15" s="20" t="str">
        <f t="shared" si="0"/>
        <v>TER</v>
      </c>
      <c r="E15" s="20" t="str">
        <f t="shared" si="0"/>
        <v>QUA</v>
      </c>
      <c r="F15" s="20" t="str">
        <f t="shared" si="0"/>
        <v>QUI</v>
      </c>
      <c r="G15" s="20" t="str">
        <f t="shared" si="0"/>
        <v>SEX</v>
      </c>
      <c r="H15" s="20" t="str">
        <f t="shared" si="0"/>
        <v>SÁB</v>
      </c>
      <c r="I15" s="20" t="str">
        <f t="shared" si="0"/>
        <v>DOM</v>
      </c>
      <c r="J15" s="20" t="str">
        <f t="shared" si="0"/>
        <v>SEG</v>
      </c>
      <c r="K15" s="20" t="str">
        <f t="shared" si="0"/>
        <v>TER</v>
      </c>
      <c r="L15" s="20" t="str">
        <f t="shared" si="0"/>
        <v>QUA</v>
      </c>
      <c r="M15" s="20" t="str">
        <f t="shared" si="0"/>
        <v>QUI</v>
      </c>
      <c r="N15" s="20" t="str">
        <f t="shared" si="0"/>
        <v>SEX</v>
      </c>
      <c r="O15" s="20" t="str">
        <f t="shared" si="0"/>
        <v>SÁB</v>
      </c>
      <c r="P15" s="20" t="str">
        <f t="shared" si="0"/>
        <v>DOM</v>
      </c>
      <c r="Q15" s="20" t="str">
        <f t="shared" si="0"/>
        <v>SEG</v>
      </c>
      <c r="R15" s="20" t="str">
        <f t="shared" si="0"/>
        <v>TER</v>
      </c>
      <c r="S15" s="20" t="str">
        <f t="shared" si="0"/>
        <v>QUA</v>
      </c>
      <c r="T15" s="20" t="str">
        <f t="shared" si="0"/>
        <v>QUI</v>
      </c>
      <c r="U15" s="20" t="str">
        <f t="shared" si="0"/>
        <v>SEX</v>
      </c>
      <c r="V15" s="20" t="str">
        <f t="shared" si="0"/>
        <v>SÁB</v>
      </c>
      <c r="W15" s="20" t="str">
        <f t="shared" si="0"/>
        <v>DOM</v>
      </c>
      <c r="X15" s="20" t="str">
        <f t="shared" si="0"/>
        <v>SEG</v>
      </c>
      <c r="Y15" s="20" t="str">
        <f t="shared" si="0"/>
        <v>TER</v>
      </c>
      <c r="Z15" s="20" t="str">
        <f t="shared" si="0"/>
        <v>QUA</v>
      </c>
      <c r="AA15" s="20" t="str">
        <f t="shared" si="0"/>
        <v>QUI</v>
      </c>
      <c r="AB15" s="20" t="str">
        <f t="shared" si="0"/>
        <v>SEX</v>
      </c>
      <c r="AC15" s="20" t="str">
        <f t="shared" si="0"/>
        <v>SÁB</v>
      </c>
      <c r="AD15" s="20" t="str">
        <f t="shared" si="0"/>
        <v>DOM</v>
      </c>
      <c r="AE15" s="20" t="str">
        <f t="shared" si="0"/>
        <v>SEG</v>
      </c>
      <c r="AF15" s="21" t="str">
        <f t="shared" si="0"/>
        <v>TER</v>
      </c>
    </row>
    <row r="16" spans="1:32" x14ac:dyDescent="0.3">
      <c r="A16" s="115"/>
      <c r="B16" s="22">
        <f>D5</f>
        <v>46082</v>
      </c>
      <c r="C16" s="23">
        <f>B16+1</f>
        <v>46083</v>
      </c>
      <c r="D16" s="23">
        <f t="shared" ref="D16:AF16" si="1">C16+1</f>
        <v>46084</v>
      </c>
      <c r="E16" s="23">
        <f t="shared" si="1"/>
        <v>46085</v>
      </c>
      <c r="F16" s="23">
        <f t="shared" si="1"/>
        <v>46086</v>
      </c>
      <c r="G16" s="23">
        <f t="shared" si="1"/>
        <v>46087</v>
      </c>
      <c r="H16" s="23">
        <f t="shared" si="1"/>
        <v>46088</v>
      </c>
      <c r="I16" s="23">
        <f t="shared" si="1"/>
        <v>46089</v>
      </c>
      <c r="J16" s="23">
        <f t="shared" si="1"/>
        <v>46090</v>
      </c>
      <c r="K16" s="23">
        <f t="shared" si="1"/>
        <v>46091</v>
      </c>
      <c r="L16" s="23">
        <f t="shared" si="1"/>
        <v>46092</v>
      </c>
      <c r="M16" s="23">
        <f t="shared" si="1"/>
        <v>46093</v>
      </c>
      <c r="N16" s="23">
        <f t="shared" si="1"/>
        <v>46094</v>
      </c>
      <c r="O16" s="23">
        <f t="shared" si="1"/>
        <v>46095</v>
      </c>
      <c r="P16" s="23">
        <f t="shared" si="1"/>
        <v>46096</v>
      </c>
      <c r="Q16" s="23">
        <f t="shared" si="1"/>
        <v>46097</v>
      </c>
      <c r="R16" s="23">
        <f t="shared" si="1"/>
        <v>46098</v>
      </c>
      <c r="S16" s="23">
        <f t="shared" si="1"/>
        <v>46099</v>
      </c>
      <c r="T16" s="23">
        <f t="shared" si="1"/>
        <v>46100</v>
      </c>
      <c r="U16" s="23">
        <f t="shared" si="1"/>
        <v>46101</v>
      </c>
      <c r="V16" s="23">
        <f t="shared" si="1"/>
        <v>46102</v>
      </c>
      <c r="W16" s="23">
        <f t="shared" si="1"/>
        <v>46103</v>
      </c>
      <c r="X16" s="23">
        <f t="shared" si="1"/>
        <v>46104</v>
      </c>
      <c r="Y16" s="23">
        <f t="shared" si="1"/>
        <v>46105</v>
      </c>
      <c r="Z16" s="23">
        <f t="shared" si="1"/>
        <v>46106</v>
      </c>
      <c r="AA16" s="23">
        <f t="shared" si="1"/>
        <v>46107</v>
      </c>
      <c r="AB16" s="23">
        <f t="shared" si="1"/>
        <v>46108</v>
      </c>
      <c r="AC16" s="23">
        <f t="shared" si="1"/>
        <v>46109</v>
      </c>
      <c r="AD16" s="23">
        <f t="shared" si="1"/>
        <v>46110</v>
      </c>
      <c r="AE16" s="23">
        <f t="shared" si="1"/>
        <v>46111</v>
      </c>
      <c r="AF16" s="24">
        <f t="shared" si="1"/>
        <v>46112</v>
      </c>
    </row>
    <row r="17" spans="1:32" x14ac:dyDescent="0.3">
      <c r="A17" s="25" t="s">
        <v>7</v>
      </c>
      <c r="B17" s="19"/>
      <c r="C17" s="19" t="s">
        <v>16</v>
      </c>
      <c r="D17" s="19" t="s">
        <v>16</v>
      </c>
      <c r="E17" s="19" t="s">
        <v>16</v>
      </c>
      <c r="F17" s="19" t="s">
        <v>16</v>
      </c>
      <c r="G17" s="19" t="s">
        <v>16</v>
      </c>
      <c r="H17" s="19" t="s">
        <v>16</v>
      </c>
      <c r="I17" s="19" t="s">
        <v>16</v>
      </c>
      <c r="J17" s="19" t="s">
        <v>16</v>
      </c>
      <c r="K17" s="19" t="s">
        <v>16</v>
      </c>
      <c r="L17" s="19" t="s">
        <v>16</v>
      </c>
      <c r="M17" s="19" t="s">
        <v>16</v>
      </c>
      <c r="N17" s="19" t="s">
        <v>16</v>
      </c>
      <c r="O17" s="19" t="s">
        <v>16</v>
      </c>
      <c r="P17" s="19" t="s">
        <v>16</v>
      </c>
      <c r="Q17" s="19" t="s">
        <v>16</v>
      </c>
      <c r="R17" s="19" t="s">
        <v>16</v>
      </c>
      <c r="S17" s="19" t="s">
        <v>16</v>
      </c>
      <c r="T17" s="19" t="s">
        <v>16</v>
      </c>
      <c r="U17" s="19" t="s">
        <v>16</v>
      </c>
      <c r="V17" s="19" t="s">
        <v>16</v>
      </c>
      <c r="W17" s="19" t="s">
        <v>16</v>
      </c>
      <c r="X17" s="19" t="s">
        <v>16</v>
      </c>
      <c r="Y17" s="19" t="s">
        <v>16</v>
      </c>
      <c r="Z17" s="19" t="s">
        <v>16</v>
      </c>
      <c r="AA17" s="19" t="s">
        <v>16</v>
      </c>
      <c r="AB17" s="19" t="s">
        <v>16</v>
      </c>
      <c r="AC17" s="19" t="s">
        <v>16</v>
      </c>
      <c r="AD17" s="19" t="s">
        <v>16</v>
      </c>
      <c r="AE17" s="19" t="s">
        <v>16</v>
      </c>
      <c r="AF17" s="26" t="s">
        <v>16</v>
      </c>
    </row>
    <row r="18" spans="1:32" x14ac:dyDescent="0.3">
      <c r="A18" s="25" t="s">
        <v>80</v>
      </c>
      <c r="B18" s="19" t="s">
        <v>16</v>
      </c>
      <c r="C18" s="19" t="s">
        <v>16</v>
      </c>
      <c r="D18" s="19" t="s">
        <v>16</v>
      </c>
      <c r="E18" s="19" t="s">
        <v>3</v>
      </c>
      <c r="F18" s="19" t="s">
        <v>3</v>
      </c>
      <c r="G18" s="19" t="s">
        <v>3</v>
      </c>
      <c r="H18" s="19"/>
      <c r="I18" s="19"/>
      <c r="J18" s="19" t="s">
        <v>3</v>
      </c>
      <c r="K18" s="19" t="s">
        <v>3</v>
      </c>
      <c r="L18" s="19" t="s">
        <v>3</v>
      </c>
      <c r="M18" s="19" t="s">
        <v>3</v>
      </c>
      <c r="N18" s="19" t="s">
        <v>3</v>
      </c>
      <c r="O18" s="19"/>
      <c r="P18" s="19"/>
      <c r="Q18" s="19" t="s">
        <v>3</v>
      </c>
      <c r="R18" s="19" t="s">
        <v>3</v>
      </c>
      <c r="S18" s="19" t="s">
        <v>3</v>
      </c>
      <c r="T18" s="19" t="s">
        <v>3</v>
      </c>
      <c r="U18" s="19" t="s">
        <v>3</v>
      </c>
      <c r="V18" s="19"/>
      <c r="W18" s="19"/>
      <c r="X18" s="19" t="s">
        <v>3</v>
      </c>
      <c r="Y18" s="19" t="s">
        <v>3</v>
      </c>
      <c r="Z18" s="19" t="s">
        <v>3</v>
      </c>
      <c r="AA18" s="19" t="s">
        <v>3</v>
      </c>
      <c r="AB18" s="19" t="s">
        <v>3</v>
      </c>
      <c r="AC18" s="19"/>
      <c r="AD18" s="19"/>
      <c r="AE18" s="19" t="s">
        <v>3</v>
      </c>
      <c r="AF18" s="26" t="s">
        <v>3</v>
      </c>
    </row>
    <row r="19" spans="1:32" x14ac:dyDescent="0.3">
      <c r="A19" s="25" t="s">
        <v>6</v>
      </c>
      <c r="B19" s="19"/>
      <c r="C19" s="19" t="s">
        <v>3</v>
      </c>
      <c r="D19" s="19" t="s">
        <v>3</v>
      </c>
      <c r="E19" s="19" t="s">
        <v>3</v>
      </c>
      <c r="F19" s="19" t="s">
        <v>3</v>
      </c>
      <c r="G19" s="19" t="s">
        <v>3</v>
      </c>
      <c r="H19" s="19"/>
      <c r="I19" s="19"/>
      <c r="J19" s="19" t="s">
        <v>3</v>
      </c>
      <c r="K19" s="19" t="s">
        <v>3</v>
      </c>
      <c r="L19" s="19" t="s">
        <v>3</v>
      </c>
      <c r="M19" s="19" t="s">
        <v>3</v>
      </c>
      <c r="N19" s="19" t="s">
        <v>3</v>
      </c>
      <c r="O19" s="19"/>
      <c r="P19" s="19"/>
      <c r="Q19" s="19" t="s">
        <v>3</v>
      </c>
      <c r="R19" s="19" t="s">
        <v>3</v>
      </c>
      <c r="S19" s="19" t="s">
        <v>3</v>
      </c>
      <c r="T19" s="19" t="s">
        <v>3</v>
      </c>
      <c r="U19" s="19" t="s">
        <v>3</v>
      </c>
      <c r="V19" s="19"/>
      <c r="W19" s="19"/>
      <c r="X19" s="19" t="s">
        <v>3</v>
      </c>
      <c r="Y19" s="19" t="s">
        <v>3</v>
      </c>
      <c r="Z19" s="19" t="s">
        <v>3</v>
      </c>
      <c r="AA19" s="19" t="s">
        <v>3</v>
      </c>
      <c r="AB19" s="19" t="s">
        <v>3</v>
      </c>
      <c r="AC19" s="19"/>
      <c r="AD19" s="19"/>
      <c r="AE19" s="19" t="s">
        <v>3</v>
      </c>
      <c r="AF19" s="26" t="s">
        <v>3</v>
      </c>
    </row>
    <row r="20" spans="1:32" x14ac:dyDescent="0.3">
      <c r="A20" s="25" t="s">
        <v>73</v>
      </c>
      <c r="B20" s="19"/>
      <c r="C20" s="19" t="s">
        <v>3</v>
      </c>
      <c r="D20" s="19" t="s">
        <v>3</v>
      </c>
      <c r="E20" s="19" t="s">
        <v>3</v>
      </c>
      <c r="F20" s="19" t="s">
        <v>3</v>
      </c>
      <c r="G20" s="19" t="s">
        <v>3</v>
      </c>
      <c r="H20" s="19"/>
      <c r="I20" s="19"/>
      <c r="J20" s="19" t="s">
        <v>3</v>
      </c>
      <c r="K20" s="19" t="s">
        <v>3</v>
      </c>
      <c r="L20" s="19" t="s">
        <v>3</v>
      </c>
      <c r="M20" s="19" t="s">
        <v>3</v>
      </c>
      <c r="N20" s="19" t="s">
        <v>3</v>
      </c>
      <c r="O20" s="19"/>
      <c r="P20" s="19"/>
      <c r="Q20" s="19" t="s">
        <v>3</v>
      </c>
      <c r="R20" s="19" t="s">
        <v>3</v>
      </c>
      <c r="S20" s="19" t="s">
        <v>3</v>
      </c>
      <c r="T20" s="19" t="s">
        <v>3</v>
      </c>
      <c r="U20" s="19" t="s">
        <v>3</v>
      </c>
      <c r="V20" s="19"/>
      <c r="W20" s="19"/>
      <c r="X20" s="19" t="s">
        <v>3</v>
      </c>
      <c r="Y20" s="19" t="s">
        <v>3</v>
      </c>
      <c r="Z20" s="19" t="s">
        <v>3</v>
      </c>
      <c r="AA20" s="19" t="s">
        <v>3</v>
      </c>
      <c r="AB20" s="19" t="s">
        <v>3</v>
      </c>
      <c r="AC20" s="19"/>
      <c r="AD20" s="19"/>
      <c r="AE20" s="19" t="s">
        <v>3</v>
      </c>
      <c r="AF20" s="26" t="s">
        <v>3</v>
      </c>
    </row>
    <row r="21" spans="1:32" x14ac:dyDescent="0.3">
      <c r="A21" s="25" t="s">
        <v>9</v>
      </c>
      <c r="B21" s="19"/>
      <c r="C21" s="19" t="s">
        <v>8</v>
      </c>
      <c r="D21" s="19" t="s">
        <v>8</v>
      </c>
      <c r="E21" s="19" t="s">
        <v>8</v>
      </c>
      <c r="F21" s="19" t="s">
        <v>8</v>
      </c>
      <c r="G21" s="19" t="s">
        <v>8</v>
      </c>
      <c r="H21" s="19"/>
      <c r="I21" s="19"/>
      <c r="J21" s="19" t="s">
        <v>8</v>
      </c>
      <c r="K21" s="19" t="s">
        <v>8</v>
      </c>
      <c r="L21" s="19" t="s">
        <v>8</v>
      </c>
      <c r="M21" s="19" t="s">
        <v>8</v>
      </c>
      <c r="N21" s="19" t="s">
        <v>8</v>
      </c>
      <c r="O21" s="19"/>
      <c r="P21" s="19"/>
      <c r="Q21" s="19" t="s">
        <v>8</v>
      </c>
      <c r="R21" s="19" t="s">
        <v>8</v>
      </c>
      <c r="S21" s="19" t="s">
        <v>8</v>
      </c>
      <c r="T21" s="19" t="s">
        <v>8</v>
      </c>
      <c r="U21" s="19" t="s">
        <v>8</v>
      </c>
      <c r="V21" s="19"/>
      <c r="W21" s="19"/>
      <c r="X21" s="19" t="s">
        <v>8</v>
      </c>
      <c r="Y21" s="19" t="s">
        <v>8</v>
      </c>
      <c r="Z21" s="19" t="s">
        <v>8</v>
      </c>
      <c r="AA21" s="19" t="s">
        <v>8</v>
      </c>
      <c r="AB21" s="19" t="s">
        <v>8</v>
      </c>
      <c r="AC21" s="19"/>
      <c r="AD21" s="19"/>
      <c r="AE21" s="19" t="s">
        <v>8</v>
      </c>
      <c r="AF21" s="26" t="s">
        <v>8</v>
      </c>
    </row>
    <row r="22" spans="1:32" x14ac:dyDescent="0.3">
      <c r="A22" s="25" t="s">
        <v>74</v>
      </c>
      <c r="B22" s="19"/>
      <c r="C22" s="19" t="s">
        <v>8</v>
      </c>
      <c r="D22" s="19" t="s">
        <v>8</v>
      </c>
      <c r="E22" s="19" t="s">
        <v>8</v>
      </c>
      <c r="F22" s="19" t="s">
        <v>8</v>
      </c>
      <c r="G22" s="19" t="s">
        <v>8</v>
      </c>
      <c r="H22" s="19"/>
      <c r="I22" s="19"/>
      <c r="J22" s="19" t="s">
        <v>8</v>
      </c>
      <c r="K22" s="19" t="s">
        <v>8</v>
      </c>
      <c r="L22" s="19" t="s">
        <v>8</v>
      </c>
      <c r="M22" s="19" t="s">
        <v>8</v>
      </c>
      <c r="N22" s="19" t="s">
        <v>8</v>
      </c>
      <c r="O22" s="19"/>
      <c r="P22" s="19"/>
      <c r="Q22" s="19" t="s">
        <v>8</v>
      </c>
      <c r="R22" s="19" t="s">
        <v>8</v>
      </c>
      <c r="S22" s="19" t="s">
        <v>8</v>
      </c>
      <c r="T22" s="19" t="s">
        <v>8</v>
      </c>
      <c r="U22" s="19" t="s">
        <v>8</v>
      </c>
      <c r="V22" s="19"/>
      <c r="W22" s="19"/>
      <c r="X22" s="19" t="s">
        <v>8</v>
      </c>
      <c r="Y22" s="19" t="s">
        <v>8</v>
      </c>
      <c r="Z22" s="19" t="s">
        <v>8</v>
      </c>
      <c r="AA22" s="19" t="s">
        <v>8</v>
      </c>
      <c r="AB22" s="19" t="s">
        <v>8</v>
      </c>
      <c r="AC22" s="19"/>
      <c r="AD22" s="19"/>
      <c r="AE22" s="19" t="s">
        <v>8</v>
      </c>
      <c r="AF22" s="26" t="s">
        <v>8</v>
      </c>
    </row>
    <row r="23" spans="1:32" x14ac:dyDescent="0.3">
      <c r="A23" s="25" t="s">
        <v>10</v>
      </c>
      <c r="B23" s="19"/>
      <c r="C23" s="19" t="s">
        <v>11</v>
      </c>
      <c r="D23" s="19" t="s">
        <v>11</v>
      </c>
      <c r="E23" s="19" t="s">
        <v>11</v>
      </c>
      <c r="F23" s="19" t="s">
        <v>11</v>
      </c>
      <c r="G23" s="19" t="s">
        <v>11</v>
      </c>
      <c r="H23" s="19"/>
      <c r="I23" s="19"/>
      <c r="J23" s="19" t="s">
        <v>11</v>
      </c>
      <c r="K23" s="19" t="s">
        <v>11</v>
      </c>
      <c r="L23" s="19" t="s">
        <v>11</v>
      </c>
      <c r="M23" s="19" t="s">
        <v>11</v>
      </c>
      <c r="N23" s="19" t="s">
        <v>11</v>
      </c>
      <c r="O23" s="19"/>
      <c r="P23" s="19"/>
      <c r="Q23" s="19" t="s">
        <v>11</v>
      </c>
      <c r="R23" s="19" t="s">
        <v>11</v>
      </c>
      <c r="S23" s="19" t="s">
        <v>11</v>
      </c>
      <c r="T23" s="19" t="s">
        <v>11</v>
      </c>
      <c r="U23" s="19" t="s">
        <v>11</v>
      </c>
      <c r="V23" s="19"/>
      <c r="W23" s="19"/>
      <c r="X23" s="19" t="s">
        <v>11</v>
      </c>
      <c r="Y23" s="19" t="s">
        <v>11</v>
      </c>
      <c r="Z23" s="19" t="s">
        <v>11</v>
      </c>
      <c r="AA23" s="19" t="s">
        <v>11</v>
      </c>
      <c r="AB23" s="19" t="s">
        <v>11</v>
      </c>
      <c r="AC23" s="19"/>
      <c r="AD23" s="19"/>
      <c r="AE23" s="19" t="s">
        <v>11</v>
      </c>
      <c r="AF23" s="26" t="s">
        <v>11</v>
      </c>
    </row>
    <row r="24" spans="1:32" ht="15" thickBot="1" x14ac:dyDescent="0.35">
      <c r="A24" s="27" t="s">
        <v>12</v>
      </c>
      <c r="B24" s="28"/>
      <c r="C24" s="28" t="s">
        <v>11</v>
      </c>
      <c r="D24" s="28" t="s">
        <v>11</v>
      </c>
      <c r="E24" s="28" t="s">
        <v>11</v>
      </c>
      <c r="F24" s="28" t="s">
        <v>11</v>
      </c>
      <c r="G24" s="28" t="s">
        <v>11</v>
      </c>
      <c r="H24" s="28"/>
      <c r="I24" s="28"/>
      <c r="J24" s="28" t="s">
        <v>11</v>
      </c>
      <c r="K24" s="28" t="s">
        <v>11</v>
      </c>
      <c r="L24" s="28" t="s">
        <v>11</v>
      </c>
      <c r="M24" s="28" t="s">
        <v>11</v>
      </c>
      <c r="N24" s="28" t="s">
        <v>11</v>
      </c>
      <c r="O24" s="28"/>
      <c r="P24" s="28"/>
      <c r="Q24" s="28" t="s">
        <v>11</v>
      </c>
      <c r="R24" s="28" t="s">
        <v>11</v>
      </c>
      <c r="S24" s="28" t="s">
        <v>11</v>
      </c>
      <c r="T24" s="28" t="s">
        <v>11</v>
      </c>
      <c r="U24" s="28" t="s">
        <v>11</v>
      </c>
      <c r="V24" s="28"/>
      <c r="W24" s="28"/>
      <c r="X24" s="28" t="s">
        <v>11</v>
      </c>
      <c r="Y24" s="28" t="s">
        <v>11</v>
      </c>
      <c r="Z24" s="28" t="s">
        <v>11</v>
      </c>
      <c r="AA24" s="28" t="s">
        <v>11</v>
      </c>
      <c r="AB24" s="28" t="s">
        <v>11</v>
      </c>
      <c r="AC24" s="28"/>
      <c r="AD24" s="28"/>
      <c r="AE24" s="28" t="s">
        <v>11</v>
      </c>
      <c r="AF24" s="29" t="s">
        <v>11</v>
      </c>
    </row>
    <row r="25" spans="1:3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</sheetData>
  <mergeCells count="40">
    <mergeCell ref="S5:U5"/>
    <mergeCell ref="V5:X5"/>
    <mergeCell ref="Z5:AD5"/>
    <mergeCell ref="B6:C6"/>
    <mergeCell ref="D6:G6"/>
    <mergeCell ref="H6:I6"/>
    <mergeCell ref="P6:R6"/>
    <mergeCell ref="S6:U6"/>
    <mergeCell ref="V6:X6"/>
    <mergeCell ref="AA6:AB6"/>
    <mergeCell ref="B5:C5"/>
    <mergeCell ref="D5:G5"/>
    <mergeCell ref="H5:I5"/>
    <mergeCell ref="M5:M7"/>
    <mergeCell ref="N5:O7"/>
    <mergeCell ref="P5:R5"/>
    <mergeCell ref="AC6:AD6"/>
    <mergeCell ref="B7:C7"/>
    <mergeCell ref="D7:G7"/>
    <mergeCell ref="H7:I7"/>
    <mergeCell ref="P7:R7"/>
    <mergeCell ref="S7:U7"/>
    <mergeCell ref="V7:X7"/>
    <mergeCell ref="AA7:AB7"/>
    <mergeCell ref="AC7:AD7"/>
    <mergeCell ref="A15:A16"/>
    <mergeCell ref="H10:I10"/>
    <mergeCell ref="A14:AF14"/>
    <mergeCell ref="AC8:AD8"/>
    <mergeCell ref="H9:I9"/>
    <mergeCell ref="N9:O9"/>
    <mergeCell ref="P9:R9"/>
    <mergeCell ref="S9:U9"/>
    <mergeCell ref="V9:X9"/>
    <mergeCell ref="H8:I8"/>
    <mergeCell ref="N8:O8"/>
    <mergeCell ref="P8:R8"/>
    <mergeCell ref="S8:U8"/>
    <mergeCell ref="V8:X8"/>
    <mergeCell ref="AA8:AB8"/>
  </mergeCells>
  <conditionalFormatting sqref="B3:AF3">
    <cfRule type="containsText" dxfId="859" priority="49" operator="containsText" text="FE">
      <formula>NOT(ISERROR(SEARCH("FE",B3)))</formula>
    </cfRule>
  </conditionalFormatting>
  <conditionalFormatting sqref="B17:AF24">
    <cfRule type="containsText" dxfId="858" priority="12" operator="containsText" text="HB">
      <formula>NOT(ISERROR(SEARCH("HB",B17)))</formula>
    </cfRule>
    <cfRule type="containsText" dxfId="857" priority="33" operator="containsText" text="OT">
      <formula>NOT(ISERROR(SEARCH("OT",B17)))</formula>
    </cfRule>
    <cfRule type="containsText" dxfId="856" priority="34" operator="containsText" text="SD">
      <formula>NOT(ISERROR(SEARCH("SD",B17)))</formula>
    </cfRule>
    <cfRule type="containsText" dxfId="855" priority="35" operator="containsText" text="E3">
      <formula>NOT(ISERROR(SEARCH("E3",B17)))</formula>
    </cfRule>
    <cfRule type="containsText" dxfId="854" priority="36" operator="containsText" text="E2">
      <formula>NOT(ISERROR(SEARCH("E2",B17)))</formula>
    </cfRule>
    <cfRule type="containsText" dxfId="853" priority="37" operator="containsText" text="E1">
      <formula>NOT(ISERROR(SEARCH("E1",B17)))</formula>
    </cfRule>
    <cfRule type="containsText" dxfId="852" priority="44" operator="containsText" text="DO">
      <formula>NOT(ISERROR(SEARCH("DO",B17)))</formula>
    </cfRule>
    <cfRule type="containsText" dxfId="851" priority="45" operator="containsText" text="VA">
      <formula>NOT(ISERROR(SEARCH("VA",B17)))</formula>
    </cfRule>
    <cfRule type="containsText" dxfId="850" priority="46" operator="containsText" text="T1">
      <formula>NOT(ISERROR(SEARCH("T1",B17)))</formula>
    </cfRule>
    <cfRule type="containsText" dxfId="849" priority="47" operator="containsText" text="T2">
      <formula>NOT(ISERROR(SEARCH("T2",B17)))</formula>
    </cfRule>
    <cfRule type="containsText" dxfId="848" priority="48" operator="containsText" text="T3">
      <formula>NOT(ISERROR(SEARCH("T3",B17)))</formula>
    </cfRule>
  </conditionalFormatting>
  <conditionalFormatting sqref="B15:AF15">
    <cfRule type="containsText" dxfId="847" priority="42" operator="containsText" text="DOM">
      <formula>NOT(ISERROR(SEARCH("DOM",B15)))</formula>
    </cfRule>
    <cfRule type="containsText" dxfId="846" priority="43" operator="containsText" text="SÁB">
      <formula>NOT(ISERROR(SEARCH("SÁB",B15)))</formula>
    </cfRule>
  </conditionalFormatting>
  <conditionalFormatting sqref="J7">
    <cfRule type="containsText" dxfId="845" priority="41" operator="containsText" text="FE">
      <formula>NOT(ISERROR(SEARCH("FE",J7)))</formula>
    </cfRule>
  </conditionalFormatting>
  <conditionalFormatting sqref="M5">
    <cfRule type="containsText" dxfId="844" priority="38" operator="containsText" text="T3">
      <formula>NOT(ISERROR(SEARCH("T3",M5)))</formula>
    </cfRule>
    <cfRule type="containsText" dxfId="843" priority="39" operator="containsText" text="T2">
      <formula>NOT(ISERROR(SEARCH("T2",M5)))</formula>
    </cfRule>
    <cfRule type="containsText" dxfId="842" priority="40" operator="containsText" text="T1">
      <formula>NOT(ISERROR(SEARCH("T1",M5)))</formula>
    </cfRule>
  </conditionalFormatting>
  <conditionalFormatting sqref="B16">
    <cfRule type="expression" dxfId="841" priority="50">
      <formula>$B$3="FE"</formula>
    </cfRule>
  </conditionalFormatting>
  <conditionalFormatting sqref="C16">
    <cfRule type="expression" dxfId="840" priority="51">
      <formula>$C$3="FE"</formula>
    </cfRule>
    <cfRule type="expression" dxfId="839" priority="52">
      <formula>$C$3="FE"</formula>
    </cfRule>
  </conditionalFormatting>
  <conditionalFormatting sqref="D16">
    <cfRule type="expression" dxfId="838" priority="53">
      <formula>$D$3="FE"</formula>
    </cfRule>
    <cfRule type="expression" dxfId="837" priority="54">
      <formula>$D$3="FE"</formula>
    </cfRule>
  </conditionalFormatting>
  <conditionalFormatting sqref="F16">
    <cfRule type="expression" dxfId="836" priority="55">
      <formula>$F$3="FE"</formula>
    </cfRule>
    <cfRule type="expression" dxfId="835" priority="56">
      <formula>$F$3="FE"</formula>
    </cfRule>
  </conditionalFormatting>
  <conditionalFormatting sqref="G16">
    <cfRule type="expression" dxfId="834" priority="57">
      <formula>$G$3="FE"</formula>
    </cfRule>
    <cfRule type="expression" dxfId="833" priority="58">
      <formula>$G$3="FE"</formula>
    </cfRule>
  </conditionalFormatting>
  <conditionalFormatting sqref="H16">
    <cfRule type="expression" dxfId="832" priority="59">
      <formula>$H$3="FE"</formula>
    </cfRule>
  </conditionalFormatting>
  <conditionalFormatting sqref="I16">
    <cfRule type="expression" dxfId="831" priority="60">
      <formula>$I$3="FE"</formula>
    </cfRule>
    <cfRule type="expression" dxfId="830" priority="61">
      <formula>$I$3="FE"</formula>
    </cfRule>
  </conditionalFormatting>
  <conditionalFormatting sqref="J16">
    <cfRule type="expression" dxfId="829" priority="62">
      <formula>$J$3="FE"</formula>
    </cfRule>
    <cfRule type="expression" dxfId="828" priority="63">
      <formula>$J$3="FE"</formula>
    </cfRule>
  </conditionalFormatting>
  <conditionalFormatting sqref="K16">
    <cfRule type="expression" dxfId="827" priority="64">
      <formula>$K$3="FE"</formula>
    </cfRule>
  </conditionalFormatting>
  <conditionalFormatting sqref="L16">
    <cfRule type="expression" dxfId="826" priority="65">
      <formula>$L$3="FE"</formula>
    </cfRule>
  </conditionalFormatting>
  <conditionalFormatting sqref="M16">
    <cfRule type="expression" dxfId="825" priority="66">
      <formula>$M$3="FE"</formula>
    </cfRule>
  </conditionalFormatting>
  <conditionalFormatting sqref="N16">
    <cfRule type="expression" dxfId="824" priority="67">
      <formula>$N$3="FE"</formula>
    </cfRule>
  </conditionalFormatting>
  <conditionalFormatting sqref="O16">
    <cfRule type="expression" dxfId="823" priority="68">
      <formula>$O$3="FE"</formula>
    </cfRule>
  </conditionalFormatting>
  <conditionalFormatting sqref="P16">
    <cfRule type="expression" dxfId="822" priority="69">
      <formula>$P$3="FE"</formula>
    </cfRule>
  </conditionalFormatting>
  <conditionalFormatting sqref="Q16">
    <cfRule type="expression" dxfId="821" priority="70">
      <formula>$Q$3="FE"</formula>
    </cfRule>
  </conditionalFormatting>
  <conditionalFormatting sqref="R16">
    <cfRule type="expression" dxfId="820" priority="71">
      <formula>$R$3="FE"</formula>
    </cfRule>
  </conditionalFormatting>
  <conditionalFormatting sqref="S16">
    <cfRule type="expression" dxfId="819" priority="72">
      <formula>$S$3="FE"</formula>
    </cfRule>
  </conditionalFormatting>
  <conditionalFormatting sqref="T16">
    <cfRule type="expression" dxfId="818" priority="73">
      <formula>$T$3="FE"</formula>
    </cfRule>
  </conditionalFormatting>
  <conditionalFormatting sqref="U16">
    <cfRule type="expression" dxfId="817" priority="74">
      <formula>$U$3="FE"</formula>
    </cfRule>
  </conditionalFormatting>
  <conditionalFormatting sqref="V16">
    <cfRule type="expression" dxfId="816" priority="75">
      <formula>$V$3="FE"</formula>
    </cfRule>
  </conditionalFormatting>
  <conditionalFormatting sqref="W16">
    <cfRule type="expression" dxfId="815" priority="76">
      <formula>$W$3="FE"</formula>
    </cfRule>
  </conditionalFormatting>
  <conditionalFormatting sqref="X16">
    <cfRule type="expression" dxfId="814" priority="77">
      <formula>$X$3="FE"</formula>
    </cfRule>
  </conditionalFormatting>
  <conditionalFormatting sqref="Y16">
    <cfRule type="expression" dxfId="813" priority="78">
      <formula>$Y$3="FE"</formula>
    </cfRule>
  </conditionalFormatting>
  <conditionalFormatting sqref="Z16">
    <cfRule type="expression" dxfId="812" priority="79">
      <formula>$Z$3="FE"</formula>
    </cfRule>
  </conditionalFormatting>
  <conditionalFormatting sqref="AA16">
    <cfRule type="expression" dxfId="811" priority="80">
      <formula>$AA$3="FE"</formula>
    </cfRule>
  </conditionalFormatting>
  <conditionalFormatting sqref="AB16">
    <cfRule type="expression" dxfId="810" priority="81">
      <formula>$AB$3="FE"</formula>
    </cfRule>
  </conditionalFormatting>
  <conditionalFormatting sqref="AC16">
    <cfRule type="expression" dxfId="809" priority="82">
      <formula>$AC$3="FE"</formula>
    </cfRule>
  </conditionalFormatting>
  <conditionalFormatting sqref="AD16">
    <cfRule type="expression" dxfId="808" priority="83">
      <formula>$AD$3="FE"</formula>
    </cfRule>
  </conditionalFormatting>
  <conditionalFormatting sqref="AE16">
    <cfRule type="expression" dxfId="807" priority="84">
      <formula>$AE$3="FE"</formula>
    </cfRule>
  </conditionalFormatting>
  <conditionalFormatting sqref="AF16">
    <cfRule type="expression" dxfId="806" priority="85">
      <formula>$AF$3="FE"</formula>
    </cfRule>
  </conditionalFormatting>
  <conditionalFormatting sqref="E16">
    <cfRule type="expression" dxfId="805" priority="86">
      <formula>$E$3="FE"</formula>
    </cfRule>
  </conditionalFormatting>
  <conditionalFormatting sqref="Z6:Z8 J5 J8:J10">
    <cfRule type="containsText" dxfId="804" priority="23" operator="containsText" text="OT">
      <formula>NOT(ISERROR(SEARCH("OT",J5)))</formula>
    </cfRule>
    <cfRule type="containsText" dxfId="803" priority="24" operator="containsText" text="SD">
      <formula>NOT(ISERROR(SEARCH("SD",J5)))</formula>
    </cfRule>
    <cfRule type="containsText" dxfId="802" priority="25" operator="containsText" text="E3">
      <formula>NOT(ISERROR(SEARCH("E3",J5)))</formula>
    </cfRule>
    <cfRule type="containsText" dxfId="801" priority="26" operator="containsText" text="E2">
      <formula>NOT(ISERROR(SEARCH("E2",J5)))</formula>
    </cfRule>
    <cfRule type="containsText" dxfId="800" priority="27" operator="containsText" text="E1">
      <formula>NOT(ISERROR(SEARCH("E1",J5)))</formula>
    </cfRule>
    <cfRule type="containsText" dxfId="799" priority="28" operator="containsText" text="DO">
      <formula>NOT(ISERROR(SEARCH("DO",J5)))</formula>
    </cfRule>
    <cfRule type="containsText" dxfId="798" priority="29" operator="containsText" text="VA">
      <formula>NOT(ISERROR(SEARCH("VA",J5)))</formula>
    </cfRule>
    <cfRule type="containsText" dxfId="797" priority="30" operator="containsText" text="T1">
      <formula>NOT(ISERROR(SEARCH("T1",J5)))</formula>
    </cfRule>
    <cfRule type="containsText" dxfId="796" priority="31" operator="containsText" text="T2">
      <formula>NOT(ISERROR(SEARCH("T2",J5)))</formula>
    </cfRule>
    <cfRule type="containsText" dxfId="795" priority="32" operator="containsText" text="T3">
      <formula>NOT(ISERROR(SEARCH("T3",J5)))</formula>
    </cfRule>
  </conditionalFormatting>
  <conditionalFormatting sqref="M8:M9">
    <cfRule type="containsText" dxfId="794" priority="13" operator="containsText" text="OT">
      <formula>NOT(ISERROR(SEARCH("OT",M8)))</formula>
    </cfRule>
    <cfRule type="containsText" dxfId="793" priority="14" operator="containsText" text="SD">
      <formula>NOT(ISERROR(SEARCH("SD",M8)))</formula>
    </cfRule>
    <cfRule type="containsText" dxfId="792" priority="15" operator="containsText" text="E3">
      <formula>NOT(ISERROR(SEARCH("E3",M8)))</formula>
    </cfRule>
    <cfRule type="containsText" dxfId="791" priority="16" operator="containsText" text="E2">
      <formula>NOT(ISERROR(SEARCH("E2",M8)))</formula>
    </cfRule>
    <cfRule type="containsText" dxfId="790" priority="17" operator="containsText" text="E1">
      <formula>NOT(ISERROR(SEARCH("E1",M8)))</formula>
    </cfRule>
    <cfRule type="containsText" dxfId="789" priority="18" operator="containsText" text="DO">
      <formula>NOT(ISERROR(SEARCH("DO",M8)))</formula>
    </cfRule>
    <cfRule type="containsText" dxfId="788" priority="19" operator="containsText" text="VA">
      <formula>NOT(ISERROR(SEARCH("VA",M8)))</formula>
    </cfRule>
    <cfRule type="containsText" dxfId="787" priority="20" operator="containsText" text="T1">
      <formula>NOT(ISERROR(SEARCH("T1",M8)))</formula>
    </cfRule>
    <cfRule type="containsText" dxfId="786" priority="21" operator="containsText" text="T2">
      <formula>NOT(ISERROR(SEARCH("T2",M8)))</formula>
    </cfRule>
    <cfRule type="containsText" dxfId="785" priority="22" operator="containsText" text="T3">
      <formula>NOT(ISERROR(SEARCH("T3",M8)))</formula>
    </cfRule>
  </conditionalFormatting>
  <conditionalFormatting sqref="J6">
    <cfRule type="containsText" dxfId="784" priority="1" operator="containsText" text="HB">
      <formula>NOT(ISERROR(SEARCH("HB",J6)))</formula>
    </cfRule>
    <cfRule type="containsText" dxfId="783" priority="2" operator="containsText" text="OT">
      <formula>NOT(ISERROR(SEARCH("OT",J6)))</formula>
    </cfRule>
    <cfRule type="containsText" dxfId="782" priority="3" operator="containsText" text="SD">
      <formula>NOT(ISERROR(SEARCH("SD",J6)))</formula>
    </cfRule>
    <cfRule type="containsText" dxfId="781" priority="4" operator="containsText" text="E3">
      <formula>NOT(ISERROR(SEARCH("E3",J6)))</formula>
    </cfRule>
    <cfRule type="containsText" dxfId="780" priority="5" operator="containsText" text="E2">
      <formula>NOT(ISERROR(SEARCH("E2",J6)))</formula>
    </cfRule>
    <cfRule type="containsText" dxfId="779" priority="6" operator="containsText" text="E1">
      <formula>NOT(ISERROR(SEARCH("E1",J6)))</formula>
    </cfRule>
    <cfRule type="containsText" dxfId="778" priority="7" operator="containsText" text="DO">
      <formula>NOT(ISERROR(SEARCH("DO",J6)))</formula>
    </cfRule>
    <cfRule type="containsText" dxfId="777" priority="8" operator="containsText" text="VA">
      <formula>NOT(ISERROR(SEARCH("VA",J6)))</formula>
    </cfRule>
    <cfRule type="containsText" dxfId="776" priority="9" operator="containsText" text="T1">
      <formula>NOT(ISERROR(SEARCH("T1",J6)))</formula>
    </cfRule>
    <cfRule type="containsText" dxfId="775" priority="10" operator="containsText" text="T2">
      <formula>NOT(ISERROR(SEARCH("T2",J6)))</formula>
    </cfRule>
    <cfRule type="containsText" dxfId="774" priority="11" operator="containsText" text="T3">
      <formula>NOT(ISERROR(SEARCH("T3",J6)))</formula>
    </cfRule>
  </conditionalFormatting>
  <dataValidations count="1">
    <dataValidation type="list" allowBlank="1" showInputMessage="1" showErrorMessage="1" sqref="M5" xr:uid="{6A859E27-6E17-48C7-B18E-52ACB51E1642}">
      <formula1>#REF!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688FF2B-7EDD-4191-81DF-823121625BDE}">
          <x14:formula1>
            <xm:f>Configuração!$N$7:$N$23</xm:f>
          </x14:formula1>
          <xm:sqref>AC6:AD8</xm:sqref>
        </x14:dataValidation>
        <x14:dataValidation type="list" allowBlank="1" showInputMessage="1" showErrorMessage="1" xr:uid="{1A740C4C-F686-46B9-B5B0-D491B702D040}">
          <x14:formula1>
            <xm:f>Configuração!$N$7:$N$1048576</xm:f>
          </x14:formula1>
          <xm:sqref>P5:P9</xm:sqref>
        </x14:dataValidation>
        <x14:dataValidation type="list" allowBlank="1" showInputMessage="1" showErrorMessage="1" xr:uid="{BF0FFC9B-9483-4D3D-8302-3B41C4F1C63E}">
          <x14:formula1>
            <xm:f>Configuração!$U$7:$U$17</xm:f>
          </x14:formula1>
          <xm:sqref>J6</xm:sqref>
        </x14:dataValidation>
        <x14:dataValidation type="list" allowBlank="1" showInputMessage="1" showErrorMessage="1" xr:uid="{4FE9A8A5-6835-40D9-B063-02FC31DC54F6}">
          <x14:formula1>
            <xm:f>Configuração!$U$7:$U$16</xm:f>
          </x14:formula1>
          <xm:sqref>Z6:Z8 J8:J10 J5 M8:M9</xm:sqref>
        </x14:dataValidation>
        <x14:dataValidation type="list" allowBlank="1" showInputMessage="1" showErrorMessage="1" xr:uid="{B305BC55-2455-4F26-8475-E19B91262848}">
          <x14:formula1>
            <xm:f>Configuração!$L$7:$L$27</xm:f>
          </x14:formula1>
          <xm:sqref>S5:X9 A17:A24</xm:sqref>
        </x14:dataValidation>
        <x14:dataValidation type="list" allowBlank="1" showInputMessage="1" showErrorMessage="1" xr:uid="{E41A725F-0468-4222-A278-E6CAA1301C1B}">
          <x14:formula1>
            <xm:f>Configuração!$Q$6:$Q$56</xm:f>
          </x14:formula1>
          <xm:sqref>D5:G5</xm:sqref>
        </x14:dataValidation>
        <x14:dataValidation type="list" allowBlank="1" showInputMessage="1" showErrorMessage="1" xr:uid="{0D728813-7660-4C23-882C-0C2A7E09CD58}">
          <x14:formula1>
            <xm:f>Configuração!$U$7:$U$22</xm:f>
          </x14:formula1>
          <xm:sqref>B17:AF37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384D6-AE57-4E00-8804-6F8CBFEFB24D}">
  <sheetPr codeName="Planilha7"/>
  <dimension ref="A1:AF40"/>
  <sheetViews>
    <sheetView zoomScale="90" zoomScaleNormal="90" workbookViewId="0">
      <selection activeCell="AG1" sqref="AG1"/>
    </sheetView>
  </sheetViews>
  <sheetFormatPr defaultRowHeight="14.4" x14ac:dyDescent="0.3"/>
  <cols>
    <col min="1" max="1" width="11.77734375" bestFit="1" customWidth="1"/>
    <col min="2" max="32" width="6.6640625" customWidth="1"/>
  </cols>
  <sheetData>
    <row r="1" spans="1:32" ht="31.2" x14ac:dyDescent="0.3">
      <c r="A1" s="12"/>
      <c r="B1" s="12"/>
      <c r="C1" s="12"/>
      <c r="D1" s="12"/>
      <c r="E1" s="13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 ht="78.45" customHeight="1" x14ac:dyDescent="0.3">
      <c r="A2" s="14"/>
      <c r="B2" s="14"/>
      <c r="C2" s="14"/>
      <c r="D2" s="14"/>
      <c r="E2" s="1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32" ht="15" hidden="1" thickBot="1" x14ac:dyDescent="0.35">
      <c r="A3" s="8" t="s">
        <v>13</v>
      </c>
      <c r="B3" s="9" t="str">
        <f>IF(MONTH(D5)=5,"FE",IF(MONTH(D5)=1,"FE",""))</f>
        <v/>
      </c>
      <c r="C3" s="10" t="str">
        <f>IF(MONTH(D5)=11,"FE","")</f>
        <v/>
      </c>
      <c r="D3" s="10" t="str">
        <f>IF(MONTH(D5)=4,"FE","")</f>
        <v>FE</v>
      </c>
      <c r="E3" s="10" t="str">
        <f>IF(MONTH(D5)=3,"FE","")</f>
        <v/>
      </c>
      <c r="F3" s="10"/>
      <c r="G3" s="10"/>
      <c r="H3" s="10" t="str">
        <f>IF(MONTH(D5)=9,"FE","")</f>
        <v/>
      </c>
      <c r="I3" s="10"/>
      <c r="J3" s="10"/>
      <c r="K3" s="10"/>
      <c r="L3" s="10"/>
      <c r="M3" s="10" t="str">
        <f>IF(MONTH(D5)=10,"FE","")</f>
        <v/>
      </c>
      <c r="N3" s="10"/>
      <c r="O3" s="10"/>
      <c r="P3" s="10" t="str">
        <f>IF(MONTH(D5)=11,"FE","")</f>
        <v/>
      </c>
      <c r="Q3" s="10"/>
      <c r="R3" s="10"/>
      <c r="S3" s="10"/>
      <c r="T3" s="10"/>
      <c r="U3" s="10" t="str">
        <f>IF(MONTH(D5)=11,"FE","")</f>
        <v/>
      </c>
      <c r="V3" s="10" t="str">
        <f>IF(MONTH(D5)=4,"FE","")</f>
        <v>FE</v>
      </c>
      <c r="W3" s="10"/>
      <c r="X3" s="10"/>
      <c r="Y3" s="10"/>
      <c r="Z3" s="10" t="str">
        <f>IF(MONTH(D5)=12,"FE",IF(MONTH(D5)=1,"FE",""))</f>
        <v/>
      </c>
      <c r="AA3" s="10"/>
      <c r="AB3" s="10"/>
      <c r="AC3" s="10"/>
      <c r="AD3" s="10"/>
      <c r="AE3" s="10" t="str">
        <f>IF(MONTH(D5)=5,"FE","")</f>
        <v/>
      </c>
      <c r="AF3" s="11"/>
    </row>
    <row r="4" spans="1:3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3">
      <c r="A5" s="1"/>
      <c r="B5" s="72" t="s">
        <v>14</v>
      </c>
      <c r="C5" s="72"/>
      <c r="D5" s="73">
        <v>46113</v>
      </c>
      <c r="E5" s="73"/>
      <c r="F5" s="73"/>
      <c r="G5" s="73"/>
      <c r="H5" s="81" t="s">
        <v>68</v>
      </c>
      <c r="I5" s="82"/>
      <c r="J5" s="17" t="s">
        <v>67</v>
      </c>
      <c r="K5" s="1"/>
      <c r="L5" s="1"/>
      <c r="M5" s="76" t="s">
        <v>3</v>
      </c>
      <c r="N5" s="77" t="s">
        <v>17</v>
      </c>
      <c r="O5" s="77"/>
      <c r="P5" s="75" t="s">
        <v>83</v>
      </c>
      <c r="Q5" s="75"/>
      <c r="R5" s="75"/>
      <c r="S5" s="75" t="s">
        <v>7</v>
      </c>
      <c r="T5" s="75"/>
      <c r="U5" s="75"/>
      <c r="V5" s="75" t="s">
        <v>80</v>
      </c>
      <c r="W5" s="75"/>
      <c r="X5" s="75"/>
      <c r="Y5" s="1"/>
      <c r="Z5" s="80" t="s">
        <v>18</v>
      </c>
      <c r="AA5" s="80"/>
      <c r="AB5" s="80"/>
      <c r="AC5" s="80"/>
      <c r="AD5" s="80"/>
      <c r="AE5" s="1"/>
      <c r="AF5" s="1"/>
    </row>
    <row r="6" spans="1:32" x14ac:dyDescent="0.3">
      <c r="A6" s="1"/>
      <c r="B6" s="72" t="s">
        <v>19</v>
      </c>
      <c r="C6" s="72"/>
      <c r="D6" s="74">
        <f>EOMONTH(D5,0)</f>
        <v>46142</v>
      </c>
      <c r="E6" s="74"/>
      <c r="F6" s="74"/>
      <c r="G6" s="74"/>
      <c r="H6" s="81" t="s">
        <v>82</v>
      </c>
      <c r="I6" s="82"/>
      <c r="J6" s="18" t="s">
        <v>81</v>
      </c>
      <c r="K6" s="1"/>
      <c r="L6" s="1"/>
      <c r="M6" s="76"/>
      <c r="N6" s="77"/>
      <c r="O6" s="77"/>
      <c r="P6" s="75" t="s">
        <v>94</v>
      </c>
      <c r="Q6" s="75"/>
      <c r="R6" s="75"/>
      <c r="S6" s="75" t="s">
        <v>6</v>
      </c>
      <c r="T6" s="75"/>
      <c r="U6" s="75"/>
      <c r="V6" s="75"/>
      <c r="W6" s="75"/>
      <c r="X6" s="75"/>
      <c r="Y6" s="1"/>
      <c r="Z6" s="19" t="s">
        <v>22</v>
      </c>
      <c r="AA6" s="77" t="s">
        <v>23</v>
      </c>
      <c r="AB6" s="77"/>
      <c r="AC6" s="75" t="s">
        <v>83</v>
      </c>
      <c r="AD6" s="75"/>
      <c r="AE6" s="1"/>
      <c r="AF6" s="1"/>
    </row>
    <row r="7" spans="1:32" x14ac:dyDescent="0.3">
      <c r="A7" s="1"/>
      <c r="B7" s="72" t="s">
        <v>24</v>
      </c>
      <c r="C7" s="72"/>
      <c r="D7" s="75">
        <f>DAY(D6)</f>
        <v>30</v>
      </c>
      <c r="E7" s="75"/>
      <c r="F7" s="75"/>
      <c r="G7" s="75"/>
      <c r="H7" s="78" t="s">
        <v>25</v>
      </c>
      <c r="I7" s="79"/>
      <c r="J7" s="19" t="s">
        <v>26</v>
      </c>
      <c r="K7" s="1"/>
      <c r="L7" s="1"/>
      <c r="M7" s="76"/>
      <c r="N7" s="77"/>
      <c r="O7" s="77"/>
      <c r="P7" s="75" t="s">
        <v>27</v>
      </c>
      <c r="Q7" s="75"/>
      <c r="R7" s="75"/>
      <c r="S7" s="75" t="s">
        <v>73</v>
      </c>
      <c r="T7" s="75"/>
      <c r="U7" s="75"/>
      <c r="V7" s="75"/>
      <c r="W7" s="75"/>
      <c r="X7" s="75"/>
      <c r="Y7" s="1"/>
      <c r="Z7" s="19" t="s">
        <v>28</v>
      </c>
      <c r="AA7" s="77" t="s">
        <v>29</v>
      </c>
      <c r="AB7" s="77"/>
      <c r="AC7" s="75" t="s">
        <v>30</v>
      </c>
      <c r="AD7" s="75"/>
      <c r="AE7" s="1"/>
      <c r="AF7" s="1"/>
    </row>
    <row r="8" spans="1:32" x14ac:dyDescent="0.3">
      <c r="A8" s="1"/>
      <c r="B8" s="1"/>
      <c r="C8" s="1"/>
      <c r="D8" s="1"/>
      <c r="E8" s="1"/>
      <c r="F8" s="1"/>
      <c r="G8" s="1"/>
      <c r="H8" s="78" t="s">
        <v>15</v>
      </c>
      <c r="I8" s="79"/>
      <c r="J8" s="19" t="s">
        <v>16</v>
      </c>
      <c r="K8" s="1"/>
      <c r="L8" s="1"/>
      <c r="M8" s="19" t="s">
        <v>8</v>
      </c>
      <c r="N8" s="77" t="s">
        <v>29</v>
      </c>
      <c r="O8" s="77"/>
      <c r="P8" s="75" t="s">
        <v>30</v>
      </c>
      <c r="Q8" s="75"/>
      <c r="R8" s="75"/>
      <c r="S8" s="75" t="s">
        <v>9</v>
      </c>
      <c r="T8" s="75"/>
      <c r="U8" s="75"/>
      <c r="V8" s="75" t="s">
        <v>74</v>
      </c>
      <c r="W8" s="75"/>
      <c r="X8" s="75"/>
      <c r="Y8" s="1"/>
      <c r="Z8" s="19" t="s">
        <v>31</v>
      </c>
      <c r="AA8" s="77" t="s">
        <v>32</v>
      </c>
      <c r="AB8" s="77"/>
      <c r="AC8" s="75" t="s">
        <v>84</v>
      </c>
      <c r="AD8" s="75"/>
      <c r="AE8" s="1"/>
      <c r="AF8" s="1"/>
    </row>
    <row r="9" spans="1:32" x14ac:dyDescent="0.3">
      <c r="A9" s="1"/>
      <c r="B9" s="1"/>
      <c r="C9" s="1"/>
      <c r="D9" s="1"/>
      <c r="E9" s="1"/>
      <c r="F9" s="1"/>
      <c r="G9" s="1"/>
      <c r="H9" s="78" t="s">
        <v>20</v>
      </c>
      <c r="I9" s="79"/>
      <c r="J9" s="19" t="s">
        <v>21</v>
      </c>
      <c r="K9" s="1"/>
      <c r="L9" s="1"/>
      <c r="M9" s="19" t="s">
        <v>11</v>
      </c>
      <c r="N9" s="77" t="s">
        <v>33</v>
      </c>
      <c r="O9" s="77"/>
      <c r="P9" s="75" t="s">
        <v>84</v>
      </c>
      <c r="Q9" s="75"/>
      <c r="R9" s="75"/>
      <c r="S9" s="75" t="s">
        <v>10</v>
      </c>
      <c r="T9" s="75"/>
      <c r="U9" s="75"/>
      <c r="V9" s="75" t="s">
        <v>12</v>
      </c>
      <c r="W9" s="75"/>
      <c r="X9" s="75"/>
      <c r="Y9" s="1"/>
      <c r="Z9" s="1"/>
      <c r="AA9" s="1"/>
      <c r="AB9" s="1"/>
      <c r="AC9" s="1"/>
      <c r="AD9" s="1"/>
      <c r="AE9" s="1"/>
      <c r="AF9" s="1"/>
    </row>
    <row r="10" spans="1:32" x14ac:dyDescent="0.3">
      <c r="A10" s="1"/>
      <c r="B10" s="1"/>
      <c r="C10" s="1"/>
      <c r="D10" s="1"/>
      <c r="E10" s="1"/>
      <c r="F10" s="1"/>
      <c r="G10" s="1"/>
      <c r="H10" s="81" t="s">
        <v>70</v>
      </c>
      <c r="I10" s="82"/>
      <c r="J10" s="19" t="s">
        <v>69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22.8" x14ac:dyDescent="0.3">
      <c r="A14" s="69" t="s">
        <v>0</v>
      </c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1"/>
    </row>
    <row r="15" spans="1:32" x14ac:dyDescent="0.3">
      <c r="A15" s="114" t="s">
        <v>1</v>
      </c>
      <c r="B15" s="20" t="str">
        <f>UPPER(TEXT(B16,"[$]ddd"))</f>
        <v>QUA</v>
      </c>
      <c r="C15" s="20" t="str">
        <f t="shared" ref="C15:AF15" si="0">UPPER(TEXT(C16,"[$]ddd"))</f>
        <v>QUI</v>
      </c>
      <c r="D15" s="20" t="str">
        <f t="shared" si="0"/>
        <v>SEX</v>
      </c>
      <c r="E15" s="20" t="str">
        <f t="shared" si="0"/>
        <v>SÁB</v>
      </c>
      <c r="F15" s="20" t="str">
        <f t="shared" si="0"/>
        <v>DOM</v>
      </c>
      <c r="G15" s="20" t="str">
        <f t="shared" si="0"/>
        <v>SEG</v>
      </c>
      <c r="H15" s="20" t="str">
        <f t="shared" si="0"/>
        <v>TER</v>
      </c>
      <c r="I15" s="20" t="str">
        <f t="shared" si="0"/>
        <v>QUA</v>
      </c>
      <c r="J15" s="20" t="str">
        <f t="shared" si="0"/>
        <v>QUI</v>
      </c>
      <c r="K15" s="20" t="str">
        <f t="shared" si="0"/>
        <v>SEX</v>
      </c>
      <c r="L15" s="20" t="str">
        <f t="shared" si="0"/>
        <v>SÁB</v>
      </c>
      <c r="M15" s="20" t="str">
        <f t="shared" si="0"/>
        <v>DOM</v>
      </c>
      <c r="N15" s="20" t="str">
        <f t="shared" si="0"/>
        <v>SEG</v>
      </c>
      <c r="O15" s="20" t="str">
        <f t="shared" si="0"/>
        <v>TER</v>
      </c>
      <c r="P15" s="20" t="str">
        <f t="shared" si="0"/>
        <v>QUA</v>
      </c>
      <c r="Q15" s="20" t="str">
        <f t="shared" si="0"/>
        <v>QUI</v>
      </c>
      <c r="R15" s="20" t="str">
        <f t="shared" si="0"/>
        <v>SEX</v>
      </c>
      <c r="S15" s="20" t="str">
        <f t="shared" si="0"/>
        <v>SÁB</v>
      </c>
      <c r="T15" s="20" t="str">
        <f t="shared" si="0"/>
        <v>DOM</v>
      </c>
      <c r="U15" s="20" t="str">
        <f t="shared" si="0"/>
        <v>SEG</v>
      </c>
      <c r="V15" s="20" t="str">
        <f t="shared" si="0"/>
        <v>TER</v>
      </c>
      <c r="W15" s="20" t="str">
        <f t="shared" si="0"/>
        <v>QUA</v>
      </c>
      <c r="X15" s="20" t="str">
        <f t="shared" si="0"/>
        <v>QUI</v>
      </c>
      <c r="Y15" s="20" t="str">
        <f t="shared" si="0"/>
        <v>SEX</v>
      </c>
      <c r="Z15" s="20" t="str">
        <f t="shared" si="0"/>
        <v>SÁB</v>
      </c>
      <c r="AA15" s="20" t="str">
        <f t="shared" si="0"/>
        <v>DOM</v>
      </c>
      <c r="AB15" s="20" t="str">
        <f t="shared" si="0"/>
        <v>SEG</v>
      </c>
      <c r="AC15" s="20" t="str">
        <f t="shared" si="0"/>
        <v>TER</v>
      </c>
      <c r="AD15" s="20" t="str">
        <f t="shared" si="0"/>
        <v>QUA</v>
      </c>
      <c r="AE15" s="20" t="str">
        <f t="shared" si="0"/>
        <v>QUI</v>
      </c>
      <c r="AF15" s="21" t="str">
        <f t="shared" si="0"/>
        <v>SEX</v>
      </c>
    </row>
    <row r="16" spans="1:32" x14ac:dyDescent="0.3">
      <c r="A16" s="115"/>
      <c r="B16" s="22">
        <f>D5</f>
        <v>46113</v>
      </c>
      <c r="C16" s="23">
        <f>B16+1</f>
        <v>46114</v>
      </c>
      <c r="D16" s="23">
        <f t="shared" ref="D16:AF16" si="1">C16+1</f>
        <v>46115</v>
      </c>
      <c r="E16" s="23">
        <f t="shared" si="1"/>
        <v>46116</v>
      </c>
      <c r="F16" s="23">
        <f t="shared" si="1"/>
        <v>46117</v>
      </c>
      <c r="G16" s="23">
        <f t="shared" si="1"/>
        <v>46118</v>
      </c>
      <c r="H16" s="23">
        <f t="shared" si="1"/>
        <v>46119</v>
      </c>
      <c r="I16" s="23">
        <f t="shared" si="1"/>
        <v>46120</v>
      </c>
      <c r="J16" s="23">
        <f t="shared" si="1"/>
        <v>46121</v>
      </c>
      <c r="K16" s="23">
        <f t="shared" si="1"/>
        <v>46122</v>
      </c>
      <c r="L16" s="23">
        <f t="shared" si="1"/>
        <v>46123</v>
      </c>
      <c r="M16" s="23">
        <f t="shared" si="1"/>
        <v>46124</v>
      </c>
      <c r="N16" s="23">
        <f t="shared" si="1"/>
        <v>46125</v>
      </c>
      <c r="O16" s="23">
        <f t="shared" si="1"/>
        <v>46126</v>
      </c>
      <c r="P16" s="23">
        <f t="shared" si="1"/>
        <v>46127</v>
      </c>
      <c r="Q16" s="23">
        <f t="shared" si="1"/>
        <v>46128</v>
      </c>
      <c r="R16" s="23">
        <f t="shared" si="1"/>
        <v>46129</v>
      </c>
      <c r="S16" s="23">
        <f t="shared" si="1"/>
        <v>46130</v>
      </c>
      <c r="T16" s="23">
        <f t="shared" si="1"/>
        <v>46131</v>
      </c>
      <c r="U16" s="23">
        <f t="shared" si="1"/>
        <v>46132</v>
      </c>
      <c r="V16" s="23">
        <f t="shared" si="1"/>
        <v>46133</v>
      </c>
      <c r="W16" s="23">
        <f t="shared" si="1"/>
        <v>46134</v>
      </c>
      <c r="X16" s="23">
        <f t="shared" si="1"/>
        <v>46135</v>
      </c>
      <c r="Y16" s="23">
        <f t="shared" si="1"/>
        <v>46136</v>
      </c>
      <c r="Z16" s="23">
        <f t="shared" si="1"/>
        <v>46137</v>
      </c>
      <c r="AA16" s="23">
        <f t="shared" si="1"/>
        <v>46138</v>
      </c>
      <c r="AB16" s="23">
        <f t="shared" si="1"/>
        <v>46139</v>
      </c>
      <c r="AC16" s="23">
        <f t="shared" si="1"/>
        <v>46140</v>
      </c>
      <c r="AD16" s="23">
        <f t="shared" si="1"/>
        <v>46141</v>
      </c>
      <c r="AE16" s="23">
        <f t="shared" si="1"/>
        <v>46142</v>
      </c>
      <c r="AF16" s="24">
        <f t="shared" si="1"/>
        <v>46143</v>
      </c>
    </row>
    <row r="17" spans="1:32" x14ac:dyDescent="0.3">
      <c r="A17" s="25" t="s">
        <v>7</v>
      </c>
      <c r="B17" s="19" t="s">
        <v>3</v>
      </c>
      <c r="C17" s="19" t="s">
        <v>3</v>
      </c>
      <c r="D17" s="19" t="s">
        <v>3</v>
      </c>
      <c r="E17" s="19"/>
      <c r="F17" s="19"/>
      <c r="G17" s="19" t="s">
        <v>3</v>
      </c>
      <c r="H17" s="19" t="s">
        <v>3</v>
      </c>
      <c r="I17" s="19" t="s">
        <v>3</v>
      </c>
      <c r="J17" s="19" t="s">
        <v>3</v>
      </c>
      <c r="K17" s="19" t="s">
        <v>3</v>
      </c>
      <c r="L17" s="19"/>
      <c r="M17" s="19"/>
      <c r="N17" s="19" t="s">
        <v>3</v>
      </c>
      <c r="O17" s="19" t="s">
        <v>3</v>
      </c>
      <c r="P17" s="19" t="s">
        <v>3</v>
      </c>
      <c r="Q17" s="19" t="s">
        <v>3</v>
      </c>
      <c r="R17" s="19" t="s">
        <v>3</v>
      </c>
      <c r="S17" s="19"/>
      <c r="T17" s="19"/>
      <c r="U17" s="19" t="s">
        <v>3</v>
      </c>
      <c r="V17" s="19" t="s">
        <v>3</v>
      </c>
      <c r="W17" s="19" t="s">
        <v>3</v>
      </c>
      <c r="X17" s="19" t="s">
        <v>3</v>
      </c>
      <c r="Y17" s="19" t="s">
        <v>3</v>
      </c>
      <c r="Z17" s="19"/>
      <c r="AA17" s="19"/>
      <c r="AB17" s="19" t="s">
        <v>3</v>
      </c>
      <c r="AC17" s="19" t="s">
        <v>3</v>
      </c>
      <c r="AD17" s="19" t="s">
        <v>3</v>
      </c>
      <c r="AE17" s="19" t="s">
        <v>3</v>
      </c>
      <c r="AF17" s="26" t="s">
        <v>3</v>
      </c>
    </row>
    <row r="18" spans="1:32" x14ac:dyDescent="0.3">
      <c r="A18" s="25" t="s">
        <v>80</v>
      </c>
      <c r="B18" s="19" t="s">
        <v>3</v>
      </c>
      <c r="C18" s="19" t="s">
        <v>3</v>
      </c>
      <c r="D18" s="19" t="s">
        <v>3</v>
      </c>
      <c r="E18" s="19"/>
      <c r="F18" s="19"/>
      <c r="G18" s="19" t="s">
        <v>3</v>
      </c>
      <c r="H18" s="19" t="s">
        <v>3</v>
      </c>
      <c r="I18" s="19" t="s">
        <v>3</v>
      </c>
      <c r="J18" s="19" t="s">
        <v>3</v>
      </c>
      <c r="K18" s="19" t="s">
        <v>3</v>
      </c>
      <c r="L18" s="19"/>
      <c r="M18" s="19"/>
      <c r="N18" s="19" t="s">
        <v>3</v>
      </c>
      <c r="O18" s="19" t="s">
        <v>3</v>
      </c>
      <c r="P18" s="19" t="s">
        <v>3</v>
      </c>
      <c r="Q18" s="19" t="s">
        <v>3</v>
      </c>
      <c r="R18" s="19" t="s">
        <v>3</v>
      </c>
      <c r="S18" s="19"/>
      <c r="T18" s="19"/>
      <c r="U18" s="19" t="s">
        <v>3</v>
      </c>
      <c r="V18" s="19" t="s">
        <v>3</v>
      </c>
      <c r="W18" s="19" t="s">
        <v>3</v>
      </c>
      <c r="X18" s="19" t="s">
        <v>3</v>
      </c>
      <c r="Y18" s="19" t="s">
        <v>3</v>
      </c>
      <c r="Z18" s="19"/>
      <c r="AA18" s="19"/>
      <c r="AB18" s="19" t="s">
        <v>3</v>
      </c>
      <c r="AC18" s="19" t="s">
        <v>3</v>
      </c>
      <c r="AD18" s="19" t="s">
        <v>3</v>
      </c>
      <c r="AE18" s="19" t="s">
        <v>3</v>
      </c>
      <c r="AF18" s="26" t="s">
        <v>3</v>
      </c>
    </row>
    <row r="19" spans="1:32" x14ac:dyDescent="0.3">
      <c r="A19" s="25" t="s">
        <v>6</v>
      </c>
      <c r="B19" s="19" t="s">
        <v>3</v>
      </c>
      <c r="C19" s="19" t="s">
        <v>3</v>
      </c>
      <c r="D19" s="19" t="s">
        <v>3</v>
      </c>
      <c r="E19" s="19"/>
      <c r="F19" s="19"/>
      <c r="G19" s="19" t="s">
        <v>3</v>
      </c>
      <c r="H19" s="19" t="s">
        <v>3</v>
      </c>
      <c r="I19" s="19" t="s">
        <v>3</v>
      </c>
      <c r="J19" s="19" t="s">
        <v>3</v>
      </c>
      <c r="K19" s="19" t="s">
        <v>3</v>
      </c>
      <c r="L19" s="19"/>
      <c r="M19" s="19"/>
      <c r="N19" s="19" t="s">
        <v>3</v>
      </c>
      <c r="O19" s="19" t="s">
        <v>3</v>
      </c>
      <c r="P19" s="19" t="s">
        <v>3</v>
      </c>
      <c r="Q19" s="19" t="s">
        <v>3</v>
      </c>
      <c r="R19" s="19" t="s">
        <v>3</v>
      </c>
      <c r="S19" s="19"/>
      <c r="T19" s="19"/>
      <c r="U19" s="19" t="s">
        <v>3</v>
      </c>
      <c r="V19" s="19" t="s">
        <v>3</v>
      </c>
      <c r="W19" s="19" t="s">
        <v>3</v>
      </c>
      <c r="X19" s="19" t="s">
        <v>3</v>
      </c>
      <c r="Y19" s="19" t="s">
        <v>3</v>
      </c>
      <c r="Z19" s="19"/>
      <c r="AA19" s="19"/>
      <c r="AB19" s="19" t="s">
        <v>3</v>
      </c>
      <c r="AC19" s="19" t="s">
        <v>3</v>
      </c>
      <c r="AD19" s="19" t="s">
        <v>3</v>
      </c>
      <c r="AE19" s="19" t="s">
        <v>3</v>
      </c>
      <c r="AF19" s="26" t="s">
        <v>3</v>
      </c>
    </row>
    <row r="20" spans="1:32" x14ac:dyDescent="0.3">
      <c r="A20" s="25" t="s">
        <v>73</v>
      </c>
      <c r="B20" s="19" t="s">
        <v>3</v>
      </c>
      <c r="C20" s="19" t="s">
        <v>3</v>
      </c>
      <c r="D20" s="19" t="s">
        <v>3</v>
      </c>
      <c r="E20" s="19"/>
      <c r="F20" s="19"/>
      <c r="G20" s="19" t="s">
        <v>3</v>
      </c>
      <c r="H20" s="19" t="s">
        <v>3</v>
      </c>
      <c r="I20" s="19" t="s">
        <v>3</v>
      </c>
      <c r="J20" s="19" t="s">
        <v>3</v>
      </c>
      <c r="K20" s="19" t="s">
        <v>3</v>
      </c>
      <c r="L20" s="19"/>
      <c r="M20" s="19"/>
      <c r="N20" s="19" t="s">
        <v>3</v>
      </c>
      <c r="O20" s="19" t="s">
        <v>3</v>
      </c>
      <c r="P20" s="19" t="s">
        <v>3</v>
      </c>
      <c r="Q20" s="19" t="s">
        <v>3</v>
      </c>
      <c r="R20" s="19" t="s">
        <v>3</v>
      </c>
      <c r="S20" s="19"/>
      <c r="T20" s="19"/>
      <c r="U20" s="19" t="s">
        <v>3</v>
      </c>
      <c r="V20" s="19" t="s">
        <v>3</v>
      </c>
      <c r="W20" s="19" t="s">
        <v>3</v>
      </c>
      <c r="X20" s="19" t="s">
        <v>3</v>
      </c>
      <c r="Y20" s="19" t="s">
        <v>3</v>
      </c>
      <c r="Z20" s="19"/>
      <c r="AA20" s="19"/>
      <c r="AB20" s="19" t="s">
        <v>3</v>
      </c>
      <c r="AC20" s="19" t="s">
        <v>3</v>
      </c>
      <c r="AD20" s="19" t="s">
        <v>3</v>
      </c>
      <c r="AE20" s="19" t="s">
        <v>3</v>
      </c>
      <c r="AF20" s="26" t="s">
        <v>3</v>
      </c>
    </row>
    <row r="21" spans="1:32" x14ac:dyDescent="0.3">
      <c r="A21" s="25" t="s">
        <v>9</v>
      </c>
      <c r="B21" s="19" t="s">
        <v>8</v>
      </c>
      <c r="C21" s="19" t="s">
        <v>8</v>
      </c>
      <c r="D21" s="19" t="s">
        <v>8</v>
      </c>
      <c r="E21" s="19"/>
      <c r="F21" s="19"/>
      <c r="G21" s="19" t="s">
        <v>8</v>
      </c>
      <c r="H21" s="19" t="s">
        <v>8</v>
      </c>
      <c r="I21" s="19" t="s">
        <v>8</v>
      </c>
      <c r="J21" s="19" t="s">
        <v>8</v>
      </c>
      <c r="K21" s="19" t="s">
        <v>8</v>
      </c>
      <c r="L21" s="19"/>
      <c r="M21" s="19"/>
      <c r="N21" s="19" t="s">
        <v>8</v>
      </c>
      <c r="O21" s="19" t="s">
        <v>8</v>
      </c>
      <c r="P21" s="19" t="s">
        <v>8</v>
      </c>
      <c r="Q21" s="19" t="s">
        <v>8</v>
      </c>
      <c r="R21" s="19" t="s">
        <v>8</v>
      </c>
      <c r="S21" s="19"/>
      <c r="T21" s="19"/>
      <c r="U21" s="19" t="s">
        <v>8</v>
      </c>
      <c r="V21" s="19" t="s">
        <v>8</v>
      </c>
      <c r="W21" s="19" t="s">
        <v>8</v>
      </c>
      <c r="X21" s="19" t="s">
        <v>8</v>
      </c>
      <c r="Y21" s="19" t="s">
        <v>8</v>
      </c>
      <c r="Z21" s="19"/>
      <c r="AA21" s="19"/>
      <c r="AB21" s="19" t="s">
        <v>8</v>
      </c>
      <c r="AC21" s="19" t="s">
        <v>8</v>
      </c>
      <c r="AD21" s="19" t="s">
        <v>8</v>
      </c>
      <c r="AE21" s="19" t="s">
        <v>8</v>
      </c>
      <c r="AF21" s="26" t="s">
        <v>8</v>
      </c>
    </row>
    <row r="22" spans="1:32" x14ac:dyDescent="0.3">
      <c r="A22" s="25" t="s">
        <v>74</v>
      </c>
      <c r="B22" s="19" t="s">
        <v>8</v>
      </c>
      <c r="C22" s="19" t="s">
        <v>8</v>
      </c>
      <c r="D22" s="19" t="s">
        <v>8</v>
      </c>
      <c r="E22" s="19"/>
      <c r="F22" s="19"/>
      <c r="G22" s="19" t="s">
        <v>8</v>
      </c>
      <c r="H22" s="19" t="s">
        <v>8</v>
      </c>
      <c r="I22" s="19" t="s">
        <v>8</v>
      </c>
      <c r="J22" s="19" t="s">
        <v>8</v>
      </c>
      <c r="K22" s="19" t="s">
        <v>8</v>
      </c>
      <c r="L22" s="19"/>
      <c r="M22" s="19"/>
      <c r="N22" s="19" t="s">
        <v>8</v>
      </c>
      <c r="O22" s="19" t="s">
        <v>8</v>
      </c>
      <c r="P22" s="19" t="s">
        <v>8</v>
      </c>
      <c r="Q22" s="19" t="s">
        <v>8</v>
      </c>
      <c r="R22" s="19" t="s">
        <v>8</v>
      </c>
      <c r="S22" s="19"/>
      <c r="T22" s="19"/>
      <c r="U22" s="19" t="s">
        <v>8</v>
      </c>
      <c r="V22" s="19" t="s">
        <v>8</v>
      </c>
      <c r="W22" s="19" t="s">
        <v>8</v>
      </c>
      <c r="X22" s="19" t="s">
        <v>8</v>
      </c>
      <c r="Y22" s="19" t="s">
        <v>8</v>
      </c>
      <c r="Z22" s="19"/>
      <c r="AA22" s="19"/>
      <c r="AB22" s="19" t="s">
        <v>8</v>
      </c>
      <c r="AC22" s="19" t="s">
        <v>8</v>
      </c>
      <c r="AD22" s="19" t="s">
        <v>8</v>
      </c>
      <c r="AE22" s="19" t="s">
        <v>8</v>
      </c>
      <c r="AF22" s="26" t="s">
        <v>8</v>
      </c>
    </row>
    <row r="23" spans="1:32" x14ac:dyDescent="0.3">
      <c r="A23" s="25" t="s">
        <v>10</v>
      </c>
      <c r="B23" s="19" t="s">
        <v>11</v>
      </c>
      <c r="C23" s="19" t="s">
        <v>11</v>
      </c>
      <c r="D23" s="19" t="s">
        <v>11</v>
      </c>
      <c r="E23" s="19"/>
      <c r="F23" s="19"/>
      <c r="G23" s="19" t="s">
        <v>11</v>
      </c>
      <c r="H23" s="19" t="s">
        <v>11</v>
      </c>
      <c r="I23" s="19" t="s">
        <v>11</v>
      </c>
      <c r="J23" s="19" t="s">
        <v>11</v>
      </c>
      <c r="K23" s="19" t="s">
        <v>11</v>
      </c>
      <c r="L23" s="19"/>
      <c r="M23" s="19"/>
      <c r="N23" s="19" t="s">
        <v>11</v>
      </c>
      <c r="O23" s="19" t="s">
        <v>11</v>
      </c>
      <c r="P23" s="19" t="s">
        <v>11</v>
      </c>
      <c r="Q23" s="19" t="s">
        <v>11</v>
      </c>
      <c r="R23" s="19" t="s">
        <v>11</v>
      </c>
      <c r="S23" s="19"/>
      <c r="T23" s="19"/>
      <c r="U23" s="19" t="s">
        <v>11</v>
      </c>
      <c r="V23" s="19" t="s">
        <v>11</v>
      </c>
      <c r="W23" s="19" t="s">
        <v>11</v>
      </c>
      <c r="X23" s="19" t="s">
        <v>11</v>
      </c>
      <c r="Y23" s="19" t="s">
        <v>11</v>
      </c>
      <c r="Z23" s="19"/>
      <c r="AA23" s="19"/>
      <c r="AB23" s="19" t="s">
        <v>11</v>
      </c>
      <c r="AC23" s="19" t="s">
        <v>11</v>
      </c>
      <c r="AD23" s="19" t="s">
        <v>11</v>
      </c>
      <c r="AE23" s="19" t="s">
        <v>11</v>
      </c>
      <c r="AF23" s="26" t="s">
        <v>11</v>
      </c>
    </row>
    <row r="24" spans="1:32" ht="15" thickBot="1" x14ac:dyDescent="0.35">
      <c r="A24" s="27" t="s">
        <v>12</v>
      </c>
      <c r="B24" s="28" t="s">
        <v>11</v>
      </c>
      <c r="C24" s="28" t="s">
        <v>11</v>
      </c>
      <c r="D24" s="28" t="s">
        <v>11</v>
      </c>
      <c r="E24" s="28"/>
      <c r="F24" s="28"/>
      <c r="G24" s="28" t="s">
        <v>11</v>
      </c>
      <c r="H24" s="28" t="s">
        <v>11</v>
      </c>
      <c r="I24" s="28" t="s">
        <v>11</v>
      </c>
      <c r="J24" s="28" t="s">
        <v>11</v>
      </c>
      <c r="K24" s="28" t="s">
        <v>11</v>
      </c>
      <c r="L24" s="28"/>
      <c r="M24" s="28"/>
      <c r="N24" s="28" t="s">
        <v>11</v>
      </c>
      <c r="O24" s="28" t="s">
        <v>11</v>
      </c>
      <c r="P24" s="28" t="s">
        <v>11</v>
      </c>
      <c r="Q24" s="28" t="s">
        <v>11</v>
      </c>
      <c r="R24" s="28" t="s">
        <v>11</v>
      </c>
      <c r="S24" s="28"/>
      <c r="T24" s="28"/>
      <c r="U24" s="28" t="s">
        <v>11</v>
      </c>
      <c r="V24" s="28" t="s">
        <v>11</v>
      </c>
      <c r="W24" s="28" t="s">
        <v>11</v>
      </c>
      <c r="X24" s="28" t="s">
        <v>11</v>
      </c>
      <c r="Y24" s="28" t="s">
        <v>11</v>
      </c>
      <c r="Z24" s="28"/>
      <c r="AA24" s="28"/>
      <c r="AB24" s="28" t="s">
        <v>11</v>
      </c>
      <c r="AC24" s="28" t="s">
        <v>11</v>
      </c>
      <c r="AD24" s="28" t="s">
        <v>11</v>
      </c>
      <c r="AE24" s="28" t="s">
        <v>11</v>
      </c>
      <c r="AF24" s="29" t="s">
        <v>11</v>
      </c>
    </row>
    <row r="25" spans="1:3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</sheetData>
  <mergeCells count="40">
    <mergeCell ref="S5:U5"/>
    <mergeCell ref="V5:X5"/>
    <mergeCell ref="Z5:AD5"/>
    <mergeCell ref="B6:C6"/>
    <mergeCell ref="D6:G6"/>
    <mergeCell ref="H6:I6"/>
    <mergeCell ref="P6:R6"/>
    <mergeCell ref="S6:U6"/>
    <mergeCell ref="V6:X6"/>
    <mergeCell ref="AA6:AB6"/>
    <mergeCell ref="B5:C5"/>
    <mergeCell ref="D5:G5"/>
    <mergeCell ref="H5:I5"/>
    <mergeCell ref="M5:M7"/>
    <mergeCell ref="N5:O7"/>
    <mergeCell ref="P5:R5"/>
    <mergeCell ref="AC6:AD6"/>
    <mergeCell ref="B7:C7"/>
    <mergeCell ref="D7:G7"/>
    <mergeCell ref="H7:I7"/>
    <mergeCell ref="P7:R7"/>
    <mergeCell ref="S7:U7"/>
    <mergeCell ref="V7:X7"/>
    <mergeCell ref="AA7:AB7"/>
    <mergeCell ref="AC7:AD7"/>
    <mergeCell ref="A15:A16"/>
    <mergeCell ref="H10:I10"/>
    <mergeCell ref="A14:AF14"/>
    <mergeCell ref="AC8:AD8"/>
    <mergeCell ref="H9:I9"/>
    <mergeCell ref="N9:O9"/>
    <mergeCell ref="P9:R9"/>
    <mergeCell ref="S9:U9"/>
    <mergeCell ref="V9:X9"/>
    <mergeCell ref="H8:I8"/>
    <mergeCell ref="N8:O8"/>
    <mergeCell ref="P8:R8"/>
    <mergeCell ref="S8:U8"/>
    <mergeCell ref="V8:X8"/>
    <mergeCell ref="AA8:AB8"/>
  </mergeCells>
  <conditionalFormatting sqref="B3:AF3">
    <cfRule type="containsText" dxfId="773" priority="49" operator="containsText" text="FE">
      <formula>NOT(ISERROR(SEARCH("FE",B3)))</formula>
    </cfRule>
  </conditionalFormatting>
  <conditionalFormatting sqref="B17:AF24">
    <cfRule type="containsText" dxfId="772" priority="12" operator="containsText" text="HB">
      <formula>NOT(ISERROR(SEARCH("HB",B17)))</formula>
    </cfRule>
    <cfRule type="containsText" dxfId="771" priority="33" operator="containsText" text="OT">
      <formula>NOT(ISERROR(SEARCH("OT",B17)))</formula>
    </cfRule>
    <cfRule type="containsText" dxfId="770" priority="34" operator="containsText" text="SD">
      <formula>NOT(ISERROR(SEARCH("SD",B17)))</formula>
    </cfRule>
    <cfRule type="containsText" dxfId="769" priority="35" operator="containsText" text="E3">
      <formula>NOT(ISERROR(SEARCH("E3",B17)))</formula>
    </cfRule>
    <cfRule type="containsText" dxfId="768" priority="36" operator="containsText" text="E2">
      <formula>NOT(ISERROR(SEARCH("E2",B17)))</formula>
    </cfRule>
    <cfRule type="containsText" dxfId="767" priority="37" operator="containsText" text="E1">
      <formula>NOT(ISERROR(SEARCH("E1",B17)))</formula>
    </cfRule>
    <cfRule type="containsText" dxfId="766" priority="44" operator="containsText" text="DO">
      <formula>NOT(ISERROR(SEARCH("DO",B17)))</formula>
    </cfRule>
    <cfRule type="containsText" dxfId="765" priority="45" operator="containsText" text="VA">
      <formula>NOT(ISERROR(SEARCH("VA",B17)))</formula>
    </cfRule>
    <cfRule type="containsText" dxfId="764" priority="46" operator="containsText" text="T1">
      <formula>NOT(ISERROR(SEARCH("T1",B17)))</formula>
    </cfRule>
    <cfRule type="containsText" dxfId="763" priority="47" operator="containsText" text="T2">
      <formula>NOT(ISERROR(SEARCH("T2",B17)))</formula>
    </cfRule>
    <cfRule type="containsText" dxfId="762" priority="48" operator="containsText" text="T3">
      <formula>NOT(ISERROR(SEARCH("T3",B17)))</formula>
    </cfRule>
  </conditionalFormatting>
  <conditionalFormatting sqref="B15:AF15">
    <cfRule type="containsText" dxfId="761" priority="42" operator="containsText" text="DOM">
      <formula>NOT(ISERROR(SEARCH("DOM",B15)))</formula>
    </cfRule>
    <cfRule type="containsText" dxfId="760" priority="43" operator="containsText" text="SÁB">
      <formula>NOT(ISERROR(SEARCH("SÁB",B15)))</formula>
    </cfRule>
  </conditionalFormatting>
  <conditionalFormatting sqref="J7">
    <cfRule type="containsText" dxfId="759" priority="41" operator="containsText" text="FE">
      <formula>NOT(ISERROR(SEARCH("FE",J7)))</formula>
    </cfRule>
  </conditionalFormatting>
  <conditionalFormatting sqref="M5">
    <cfRule type="containsText" dxfId="758" priority="38" operator="containsText" text="T3">
      <formula>NOT(ISERROR(SEARCH("T3",M5)))</formula>
    </cfRule>
    <cfRule type="containsText" dxfId="757" priority="39" operator="containsText" text="T2">
      <formula>NOT(ISERROR(SEARCH("T2",M5)))</formula>
    </cfRule>
    <cfRule type="containsText" dxfId="756" priority="40" operator="containsText" text="T1">
      <formula>NOT(ISERROR(SEARCH("T1",M5)))</formula>
    </cfRule>
  </conditionalFormatting>
  <conditionalFormatting sqref="B16">
    <cfRule type="expression" dxfId="755" priority="50">
      <formula>$B$3="FE"</formula>
    </cfRule>
  </conditionalFormatting>
  <conditionalFormatting sqref="C16">
    <cfRule type="expression" dxfId="754" priority="51">
      <formula>$C$3="FE"</formula>
    </cfRule>
    <cfRule type="expression" dxfId="753" priority="52">
      <formula>$C$3="FE"</formula>
    </cfRule>
  </conditionalFormatting>
  <conditionalFormatting sqref="D16">
    <cfRule type="expression" dxfId="752" priority="53">
      <formula>$D$3="FE"</formula>
    </cfRule>
    <cfRule type="expression" dxfId="751" priority="54">
      <formula>$D$3="FE"</formula>
    </cfRule>
  </conditionalFormatting>
  <conditionalFormatting sqref="F16">
    <cfRule type="expression" dxfId="750" priority="55">
      <formula>$F$3="FE"</formula>
    </cfRule>
    <cfRule type="expression" dxfId="749" priority="56">
      <formula>$F$3="FE"</formula>
    </cfRule>
  </conditionalFormatting>
  <conditionalFormatting sqref="G16">
    <cfRule type="expression" dxfId="748" priority="57">
      <formula>$G$3="FE"</formula>
    </cfRule>
    <cfRule type="expression" dxfId="747" priority="58">
      <formula>$G$3="FE"</formula>
    </cfRule>
  </conditionalFormatting>
  <conditionalFormatting sqref="H16">
    <cfRule type="expression" dxfId="746" priority="59">
      <formula>$H$3="FE"</formula>
    </cfRule>
  </conditionalFormatting>
  <conditionalFormatting sqref="I16">
    <cfRule type="expression" dxfId="745" priority="60">
      <formula>$I$3="FE"</formula>
    </cfRule>
    <cfRule type="expression" dxfId="744" priority="61">
      <formula>$I$3="FE"</formula>
    </cfRule>
  </conditionalFormatting>
  <conditionalFormatting sqref="J16">
    <cfRule type="expression" dxfId="743" priority="62">
      <formula>$J$3="FE"</formula>
    </cfRule>
    <cfRule type="expression" dxfId="742" priority="63">
      <formula>$J$3="FE"</formula>
    </cfRule>
  </conditionalFormatting>
  <conditionalFormatting sqref="K16">
    <cfRule type="expression" dxfId="741" priority="64">
      <formula>$K$3="FE"</formula>
    </cfRule>
  </conditionalFormatting>
  <conditionalFormatting sqref="L16">
    <cfRule type="expression" dxfId="740" priority="65">
      <formula>$L$3="FE"</formula>
    </cfRule>
  </conditionalFormatting>
  <conditionalFormatting sqref="M16">
    <cfRule type="expression" dxfId="739" priority="66">
      <formula>$M$3="FE"</formula>
    </cfRule>
  </conditionalFormatting>
  <conditionalFormatting sqref="N16">
    <cfRule type="expression" dxfId="738" priority="67">
      <formula>$N$3="FE"</formula>
    </cfRule>
  </conditionalFormatting>
  <conditionalFormatting sqref="O16">
    <cfRule type="expression" dxfId="737" priority="68">
      <formula>$O$3="FE"</formula>
    </cfRule>
  </conditionalFormatting>
  <conditionalFormatting sqref="P16">
    <cfRule type="expression" dxfId="736" priority="69">
      <formula>$P$3="FE"</formula>
    </cfRule>
  </conditionalFormatting>
  <conditionalFormatting sqref="Q16">
    <cfRule type="expression" dxfId="735" priority="70">
      <formula>$Q$3="FE"</formula>
    </cfRule>
  </conditionalFormatting>
  <conditionalFormatting sqref="R16">
    <cfRule type="expression" dxfId="734" priority="71">
      <formula>$R$3="FE"</formula>
    </cfRule>
  </conditionalFormatting>
  <conditionalFormatting sqref="S16">
    <cfRule type="expression" dxfId="733" priority="72">
      <formula>$S$3="FE"</formula>
    </cfRule>
  </conditionalFormatting>
  <conditionalFormatting sqref="T16">
    <cfRule type="expression" dxfId="732" priority="73">
      <formula>$T$3="FE"</formula>
    </cfRule>
  </conditionalFormatting>
  <conditionalFormatting sqref="U16">
    <cfRule type="expression" dxfId="731" priority="74">
      <formula>$U$3="FE"</formula>
    </cfRule>
  </conditionalFormatting>
  <conditionalFormatting sqref="V16">
    <cfRule type="expression" dxfId="730" priority="75">
      <formula>$V$3="FE"</formula>
    </cfRule>
  </conditionalFormatting>
  <conditionalFormatting sqref="W16">
    <cfRule type="expression" dxfId="729" priority="76">
      <formula>$W$3="FE"</formula>
    </cfRule>
  </conditionalFormatting>
  <conditionalFormatting sqref="X16">
    <cfRule type="expression" dxfId="728" priority="77">
      <formula>$X$3="FE"</formula>
    </cfRule>
  </conditionalFormatting>
  <conditionalFormatting sqref="Y16">
    <cfRule type="expression" dxfId="727" priority="78">
      <formula>$Y$3="FE"</formula>
    </cfRule>
  </conditionalFormatting>
  <conditionalFormatting sqref="Z16">
    <cfRule type="expression" dxfId="726" priority="79">
      <formula>$Z$3="FE"</formula>
    </cfRule>
  </conditionalFormatting>
  <conditionalFormatting sqref="AA16">
    <cfRule type="expression" dxfId="725" priority="80">
      <formula>$AA$3="FE"</formula>
    </cfRule>
  </conditionalFormatting>
  <conditionalFormatting sqref="AB16">
    <cfRule type="expression" dxfId="724" priority="81">
      <formula>$AB$3="FE"</formula>
    </cfRule>
  </conditionalFormatting>
  <conditionalFormatting sqref="AC16">
    <cfRule type="expression" dxfId="723" priority="82">
      <formula>$AC$3="FE"</formula>
    </cfRule>
  </conditionalFormatting>
  <conditionalFormatting sqref="AD16">
    <cfRule type="expression" dxfId="722" priority="83">
      <formula>$AD$3="FE"</formula>
    </cfRule>
  </conditionalFormatting>
  <conditionalFormatting sqref="AE16">
    <cfRule type="expression" dxfId="721" priority="84">
      <formula>$AE$3="FE"</formula>
    </cfRule>
  </conditionalFormatting>
  <conditionalFormatting sqref="AF16">
    <cfRule type="expression" dxfId="720" priority="85">
      <formula>$AF$3="FE"</formula>
    </cfRule>
  </conditionalFormatting>
  <conditionalFormatting sqref="E16">
    <cfRule type="expression" dxfId="719" priority="86">
      <formula>$E$3="FE"</formula>
    </cfRule>
  </conditionalFormatting>
  <conditionalFormatting sqref="Z6:Z8 J5 J8:J10">
    <cfRule type="containsText" dxfId="718" priority="23" operator="containsText" text="OT">
      <formula>NOT(ISERROR(SEARCH("OT",J5)))</formula>
    </cfRule>
    <cfRule type="containsText" dxfId="717" priority="24" operator="containsText" text="SD">
      <formula>NOT(ISERROR(SEARCH("SD",J5)))</formula>
    </cfRule>
    <cfRule type="containsText" dxfId="716" priority="25" operator="containsText" text="E3">
      <formula>NOT(ISERROR(SEARCH("E3",J5)))</formula>
    </cfRule>
    <cfRule type="containsText" dxfId="715" priority="26" operator="containsText" text="E2">
      <formula>NOT(ISERROR(SEARCH("E2",J5)))</formula>
    </cfRule>
    <cfRule type="containsText" dxfId="714" priority="27" operator="containsText" text="E1">
      <formula>NOT(ISERROR(SEARCH("E1",J5)))</formula>
    </cfRule>
    <cfRule type="containsText" dxfId="713" priority="28" operator="containsText" text="DO">
      <formula>NOT(ISERROR(SEARCH("DO",J5)))</formula>
    </cfRule>
    <cfRule type="containsText" dxfId="712" priority="29" operator="containsText" text="VA">
      <formula>NOT(ISERROR(SEARCH("VA",J5)))</formula>
    </cfRule>
    <cfRule type="containsText" dxfId="711" priority="30" operator="containsText" text="T1">
      <formula>NOT(ISERROR(SEARCH("T1",J5)))</formula>
    </cfRule>
    <cfRule type="containsText" dxfId="710" priority="31" operator="containsText" text="T2">
      <formula>NOT(ISERROR(SEARCH("T2",J5)))</formula>
    </cfRule>
    <cfRule type="containsText" dxfId="709" priority="32" operator="containsText" text="T3">
      <formula>NOT(ISERROR(SEARCH("T3",J5)))</formula>
    </cfRule>
  </conditionalFormatting>
  <conditionalFormatting sqref="M8:M9">
    <cfRule type="containsText" dxfId="708" priority="13" operator="containsText" text="OT">
      <formula>NOT(ISERROR(SEARCH("OT",M8)))</formula>
    </cfRule>
    <cfRule type="containsText" dxfId="707" priority="14" operator="containsText" text="SD">
      <formula>NOT(ISERROR(SEARCH("SD",M8)))</formula>
    </cfRule>
    <cfRule type="containsText" dxfId="706" priority="15" operator="containsText" text="E3">
      <formula>NOT(ISERROR(SEARCH("E3",M8)))</formula>
    </cfRule>
    <cfRule type="containsText" dxfId="705" priority="16" operator="containsText" text="E2">
      <formula>NOT(ISERROR(SEARCH("E2",M8)))</formula>
    </cfRule>
    <cfRule type="containsText" dxfId="704" priority="17" operator="containsText" text="E1">
      <formula>NOT(ISERROR(SEARCH("E1",M8)))</formula>
    </cfRule>
    <cfRule type="containsText" dxfId="703" priority="18" operator="containsText" text="DO">
      <formula>NOT(ISERROR(SEARCH("DO",M8)))</formula>
    </cfRule>
    <cfRule type="containsText" dxfId="702" priority="19" operator="containsText" text="VA">
      <formula>NOT(ISERROR(SEARCH("VA",M8)))</formula>
    </cfRule>
    <cfRule type="containsText" dxfId="701" priority="20" operator="containsText" text="T1">
      <formula>NOT(ISERROR(SEARCH("T1",M8)))</formula>
    </cfRule>
    <cfRule type="containsText" dxfId="700" priority="21" operator="containsText" text="T2">
      <formula>NOT(ISERROR(SEARCH("T2",M8)))</formula>
    </cfRule>
    <cfRule type="containsText" dxfId="699" priority="22" operator="containsText" text="T3">
      <formula>NOT(ISERROR(SEARCH("T3",M8)))</formula>
    </cfRule>
  </conditionalFormatting>
  <conditionalFormatting sqref="J6">
    <cfRule type="containsText" dxfId="698" priority="1" operator="containsText" text="HB">
      <formula>NOT(ISERROR(SEARCH("HB",J6)))</formula>
    </cfRule>
    <cfRule type="containsText" dxfId="697" priority="2" operator="containsText" text="OT">
      <formula>NOT(ISERROR(SEARCH("OT",J6)))</formula>
    </cfRule>
    <cfRule type="containsText" dxfId="696" priority="3" operator="containsText" text="SD">
      <formula>NOT(ISERROR(SEARCH("SD",J6)))</formula>
    </cfRule>
    <cfRule type="containsText" dxfId="695" priority="4" operator="containsText" text="E3">
      <formula>NOT(ISERROR(SEARCH("E3",J6)))</formula>
    </cfRule>
    <cfRule type="containsText" dxfId="694" priority="5" operator="containsText" text="E2">
      <formula>NOT(ISERROR(SEARCH("E2",J6)))</formula>
    </cfRule>
    <cfRule type="containsText" dxfId="693" priority="6" operator="containsText" text="E1">
      <formula>NOT(ISERROR(SEARCH("E1",J6)))</formula>
    </cfRule>
    <cfRule type="containsText" dxfId="692" priority="7" operator="containsText" text="DO">
      <formula>NOT(ISERROR(SEARCH("DO",J6)))</formula>
    </cfRule>
    <cfRule type="containsText" dxfId="691" priority="8" operator="containsText" text="VA">
      <formula>NOT(ISERROR(SEARCH("VA",J6)))</formula>
    </cfRule>
    <cfRule type="containsText" dxfId="690" priority="9" operator="containsText" text="T1">
      <formula>NOT(ISERROR(SEARCH("T1",J6)))</formula>
    </cfRule>
    <cfRule type="containsText" dxfId="689" priority="10" operator="containsText" text="T2">
      <formula>NOT(ISERROR(SEARCH("T2",J6)))</formula>
    </cfRule>
    <cfRule type="containsText" dxfId="688" priority="11" operator="containsText" text="T3">
      <formula>NOT(ISERROR(SEARCH("T3",J6)))</formula>
    </cfRule>
  </conditionalFormatting>
  <dataValidations count="1">
    <dataValidation type="list" allowBlank="1" showInputMessage="1" showErrorMessage="1" sqref="M5" xr:uid="{9A9E919C-2C8F-40B0-B011-D10962525055}">
      <formula1>#REF!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4B767B0-7199-4B7B-BDC3-E3393FE6C5CE}">
          <x14:formula1>
            <xm:f>Configuração!$N$7:$N$23</xm:f>
          </x14:formula1>
          <xm:sqref>AC6:AD8</xm:sqref>
        </x14:dataValidation>
        <x14:dataValidation type="list" allowBlank="1" showInputMessage="1" showErrorMessage="1" xr:uid="{E6BFF9BB-3817-49CD-9774-900BECBE2D25}">
          <x14:formula1>
            <xm:f>Configuração!$N$7:$N$1048576</xm:f>
          </x14:formula1>
          <xm:sqref>P5:P9</xm:sqref>
        </x14:dataValidation>
        <x14:dataValidation type="list" allowBlank="1" showInputMessage="1" showErrorMessage="1" xr:uid="{E1349C1E-2AC0-4BE1-A6CE-97AA08BEDEB5}">
          <x14:formula1>
            <xm:f>Configuração!$U$7:$U$17</xm:f>
          </x14:formula1>
          <xm:sqref>J6</xm:sqref>
        </x14:dataValidation>
        <x14:dataValidation type="list" allowBlank="1" showInputMessage="1" showErrorMessage="1" xr:uid="{A08EE18E-4F30-4749-B25E-85B2A486BAA2}">
          <x14:formula1>
            <xm:f>Configuração!$U$7:$U$16</xm:f>
          </x14:formula1>
          <xm:sqref>Z6:Z8 J8:J10 J5 M8:M9</xm:sqref>
        </x14:dataValidation>
        <x14:dataValidation type="list" allowBlank="1" showInputMessage="1" showErrorMessage="1" xr:uid="{E4749849-4F45-442C-AB64-2B2991DFF0D7}">
          <x14:formula1>
            <xm:f>Configuração!$L$7:$L$27</xm:f>
          </x14:formula1>
          <xm:sqref>S5:X9 A17:A24</xm:sqref>
        </x14:dataValidation>
        <x14:dataValidation type="list" allowBlank="1" showInputMessage="1" showErrorMessage="1" xr:uid="{40C918A1-EAD8-4D94-B6CF-0E3F818DC306}">
          <x14:formula1>
            <xm:f>Configuração!$Q$6:$Q$56</xm:f>
          </x14:formula1>
          <xm:sqref>D5:G5</xm:sqref>
        </x14:dataValidation>
        <x14:dataValidation type="list" allowBlank="1" showInputMessage="1" showErrorMessage="1" xr:uid="{38D46317-CA45-4D0A-B35E-BA487794F665}">
          <x14:formula1>
            <xm:f>Configuração!$U$7:$U$22</xm:f>
          </x14:formula1>
          <xm:sqref>B17:AF37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A42AD-A5F4-44F6-9F31-99BD13686443}">
  <sheetPr codeName="Planilha8"/>
  <dimension ref="A1:AF40"/>
  <sheetViews>
    <sheetView zoomScale="90" zoomScaleNormal="90" workbookViewId="0">
      <selection activeCell="AG1" sqref="AG1"/>
    </sheetView>
  </sheetViews>
  <sheetFormatPr defaultRowHeight="14.4" x14ac:dyDescent="0.3"/>
  <cols>
    <col min="1" max="1" width="11.77734375" bestFit="1" customWidth="1"/>
    <col min="2" max="32" width="6.6640625" customWidth="1"/>
  </cols>
  <sheetData>
    <row r="1" spans="1:32" ht="31.2" x14ac:dyDescent="0.3">
      <c r="A1" s="12"/>
      <c r="B1" s="12"/>
      <c r="C1" s="12"/>
      <c r="D1" s="12"/>
      <c r="E1" s="13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 ht="78.75" customHeight="1" x14ac:dyDescent="0.3">
      <c r="A2" s="14"/>
      <c r="B2" s="14"/>
      <c r="C2" s="14"/>
      <c r="D2" s="14"/>
      <c r="E2" s="1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32" ht="15" hidden="1" thickBot="1" x14ac:dyDescent="0.35">
      <c r="A3" s="8" t="s">
        <v>13</v>
      </c>
      <c r="B3" s="9" t="str">
        <f>IF(MONTH(D5)=5,"FE",IF(MONTH(D5)=1,"FE",""))</f>
        <v>FE</v>
      </c>
      <c r="C3" s="10" t="str">
        <f>IF(MONTH(D5)=11,"FE","")</f>
        <v/>
      </c>
      <c r="D3" s="10"/>
      <c r="E3" s="10" t="str">
        <f>IF(MONTH(D5)=3,"FE","")</f>
        <v/>
      </c>
      <c r="F3" s="10"/>
      <c r="G3" s="10"/>
      <c r="H3" s="10" t="str">
        <f>IF(MONTH(D5)=9,"FE","")</f>
        <v/>
      </c>
      <c r="I3" s="10"/>
      <c r="J3" s="10"/>
      <c r="K3" s="10"/>
      <c r="L3" s="10"/>
      <c r="M3" s="10" t="str">
        <f>IF(MONTH(D5)=10,"FE","")</f>
        <v/>
      </c>
      <c r="N3" s="10"/>
      <c r="O3" s="10"/>
      <c r="P3" s="10" t="str">
        <f>IF(MONTH(D5)=11,"FE","")</f>
        <v/>
      </c>
      <c r="Q3" s="10"/>
      <c r="R3" s="10"/>
      <c r="S3" s="10"/>
      <c r="T3" s="10"/>
      <c r="U3" s="10" t="str">
        <f>IF(MONTH(D5)=11,"FE","")</f>
        <v/>
      </c>
      <c r="V3" s="10" t="str">
        <f>IF(MONTH(D5)=4,"FE","")</f>
        <v/>
      </c>
      <c r="W3" s="10"/>
      <c r="X3" s="10"/>
      <c r="Y3" s="10"/>
      <c r="Z3" s="10" t="str">
        <f>IF(MONTH(D5)=12,"FE",IF(MONTH(D5)=1,"FE",""))</f>
        <v/>
      </c>
      <c r="AA3" s="10"/>
      <c r="AB3" s="10"/>
      <c r="AC3" s="10"/>
      <c r="AD3" s="10"/>
      <c r="AE3" s="10"/>
      <c r="AF3" s="11"/>
    </row>
    <row r="4" spans="1:3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3">
      <c r="A5" s="1"/>
      <c r="B5" s="72" t="s">
        <v>14</v>
      </c>
      <c r="C5" s="72"/>
      <c r="D5" s="73">
        <v>46143</v>
      </c>
      <c r="E5" s="73"/>
      <c r="F5" s="73"/>
      <c r="G5" s="73"/>
      <c r="H5" s="81" t="s">
        <v>68</v>
      </c>
      <c r="I5" s="82"/>
      <c r="J5" s="17" t="s">
        <v>67</v>
      </c>
      <c r="K5" s="1"/>
      <c r="L5" s="1"/>
      <c r="M5" s="76" t="s">
        <v>3</v>
      </c>
      <c r="N5" s="77" t="s">
        <v>17</v>
      </c>
      <c r="O5" s="77"/>
      <c r="P5" s="75" t="s">
        <v>83</v>
      </c>
      <c r="Q5" s="75"/>
      <c r="R5" s="75"/>
      <c r="S5" s="75" t="s">
        <v>7</v>
      </c>
      <c r="T5" s="75"/>
      <c r="U5" s="75"/>
      <c r="V5" s="75" t="s">
        <v>80</v>
      </c>
      <c r="W5" s="75"/>
      <c r="X5" s="75"/>
      <c r="Y5" s="1"/>
      <c r="Z5" s="80" t="s">
        <v>18</v>
      </c>
      <c r="AA5" s="80"/>
      <c r="AB5" s="80"/>
      <c r="AC5" s="80"/>
      <c r="AD5" s="80"/>
      <c r="AE5" s="1"/>
      <c r="AF5" s="1"/>
    </row>
    <row r="6" spans="1:32" x14ac:dyDescent="0.3">
      <c r="A6" s="1"/>
      <c r="B6" s="72" t="s">
        <v>19</v>
      </c>
      <c r="C6" s="72"/>
      <c r="D6" s="74">
        <f>EOMONTH(D5,0)</f>
        <v>46173</v>
      </c>
      <c r="E6" s="74"/>
      <c r="F6" s="74"/>
      <c r="G6" s="74"/>
      <c r="H6" s="81" t="s">
        <v>82</v>
      </c>
      <c r="I6" s="82"/>
      <c r="J6" s="18" t="s">
        <v>81</v>
      </c>
      <c r="K6" s="1"/>
      <c r="L6" s="1"/>
      <c r="M6" s="76"/>
      <c r="N6" s="77"/>
      <c r="O6" s="77"/>
      <c r="P6" s="75" t="s">
        <v>94</v>
      </c>
      <c r="Q6" s="75"/>
      <c r="R6" s="75"/>
      <c r="S6" s="75" t="s">
        <v>6</v>
      </c>
      <c r="T6" s="75"/>
      <c r="U6" s="75"/>
      <c r="V6" s="75"/>
      <c r="W6" s="75"/>
      <c r="X6" s="75"/>
      <c r="Y6" s="1"/>
      <c r="Z6" s="19" t="s">
        <v>22</v>
      </c>
      <c r="AA6" s="77" t="s">
        <v>23</v>
      </c>
      <c r="AB6" s="77"/>
      <c r="AC6" s="75" t="s">
        <v>83</v>
      </c>
      <c r="AD6" s="75"/>
      <c r="AE6" s="1"/>
      <c r="AF6" s="1"/>
    </row>
    <row r="7" spans="1:32" x14ac:dyDescent="0.3">
      <c r="A7" s="1"/>
      <c r="B7" s="72" t="s">
        <v>24</v>
      </c>
      <c r="C7" s="72"/>
      <c r="D7" s="75">
        <f>DAY(D6)</f>
        <v>31</v>
      </c>
      <c r="E7" s="75"/>
      <c r="F7" s="75"/>
      <c r="G7" s="75"/>
      <c r="H7" s="78" t="s">
        <v>25</v>
      </c>
      <c r="I7" s="79"/>
      <c r="J7" s="19" t="s">
        <v>26</v>
      </c>
      <c r="K7" s="1"/>
      <c r="L7" s="1"/>
      <c r="M7" s="76"/>
      <c r="N7" s="77"/>
      <c r="O7" s="77"/>
      <c r="P7" s="75" t="s">
        <v>27</v>
      </c>
      <c r="Q7" s="75"/>
      <c r="R7" s="75"/>
      <c r="S7" s="75" t="s">
        <v>73</v>
      </c>
      <c r="T7" s="75"/>
      <c r="U7" s="75"/>
      <c r="V7" s="75"/>
      <c r="W7" s="75"/>
      <c r="X7" s="75"/>
      <c r="Y7" s="1"/>
      <c r="Z7" s="19" t="s">
        <v>28</v>
      </c>
      <c r="AA7" s="77" t="s">
        <v>29</v>
      </c>
      <c r="AB7" s="77"/>
      <c r="AC7" s="75" t="s">
        <v>30</v>
      </c>
      <c r="AD7" s="75"/>
      <c r="AE7" s="1"/>
      <c r="AF7" s="1"/>
    </row>
    <row r="8" spans="1:32" x14ac:dyDescent="0.3">
      <c r="A8" s="1"/>
      <c r="B8" s="1"/>
      <c r="C8" s="1"/>
      <c r="D8" s="1"/>
      <c r="E8" s="1"/>
      <c r="F8" s="1"/>
      <c r="G8" s="1"/>
      <c r="H8" s="78" t="s">
        <v>15</v>
      </c>
      <c r="I8" s="79"/>
      <c r="J8" s="19" t="s">
        <v>16</v>
      </c>
      <c r="K8" s="1"/>
      <c r="L8" s="1"/>
      <c r="M8" s="19" t="s">
        <v>8</v>
      </c>
      <c r="N8" s="77" t="s">
        <v>29</v>
      </c>
      <c r="O8" s="77"/>
      <c r="P8" s="75" t="s">
        <v>30</v>
      </c>
      <c r="Q8" s="75"/>
      <c r="R8" s="75"/>
      <c r="S8" s="75" t="s">
        <v>9</v>
      </c>
      <c r="T8" s="75"/>
      <c r="U8" s="75"/>
      <c r="V8" s="75" t="s">
        <v>74</v>
      </c>
      <c r="W8" s="75"/>
      <c r="X8" s="75"/>
      <c r="Y8" s="1"/>
      <c r="Z8" s="19" t="s">
        <v>31</v>
      </c>
      <c r="AA8" s="77" t="s">
        <v>32</v>
      </c>
      <c r="AB8" s="77"/>
      <c r="AC8" s="75" t="s">
        <v>84</v>
      </c>
      <c r="AD8" s="75"/>
      <c r="AE8" s="1"/>
      <c r="AF8" s="1"/>
    </row>
    <row r="9" spans="1:32" x14ac:dyDescent="0.3">
      <c r="A9" s="1"/>
      <c r="B9" s="1"/>
      <c r="C9" s="1"/>
      <c r="D9" s="1"/>
      <c r="E9" s="1"/>
      <c r="F9" s="1"/>
      <c r="G9" s="1"/>
      <c r="H9" s="78" t="s">
        <v>20</v>
      </c>
      <c r="I9" s="79"/>
      <c r="J9" s="19" t="s">
        <v>21</v>
      </c>
      <c r="K9" s="1"/>
      <c r="L9" s="1"/>
      <c r="M9" s="19" t="s">
        <v>11</v>
      </c>
      <c r="N9" s="77" t="s">
        <v>33</v>
      </c>
      <c r="O9" s="77"/>
      <c r="P9" s="75" t="s">
        <v>84</v>
      </c>
      <c r="Q9" s="75"/>
      <c r="R9" s="75"/>
      <c r="S9" s="75" t="s">
        <v>10</v>
      </c>
      <c r="T9" s="75"/>
      <c r="U9" s="75"/>
      <c r="V9" s="75" t="s">
        <v>12</v>
      </c>
      <c r="W9" s="75"/>
      <c r="X9" s="75"/>
      <c r="Y9" s="1"/>
      <c r="Z9" s="1"/>
      <c r="AA9" s="1"/>
      <c r="AB9" s="1"/>
      <c r="AC9" s="1"/>
      <c r="AD9" s="1"/>
      <c r="AE9" s="1"/>
      <c r="AF9" s="1"/>
    </row>
    <row r="10" spans="1:32" x14ac:dyDescent="0.3">
      <c r="A10" s="1"/>
      <c r="B10" s="1"/>
      <c r="C10" s="1"/>
      <c r="D10" s="1"/>
      <c r="E10" s="1"/>
      <c r="F10" s="1"/>
      <c r="G10" s="1"/>
      <c r="H10" s="81" t="s">
        <v>70</v>
      </c>
      <c r="I10" s="82"/>
      <c r="J10" s="19" t="s">
        <v>69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22.8" x14ac:dyDescent="0.3">
      <c r="A14" s="69" t="s">
        <v>0</v>
      </c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1"/>
    </row>
    <row r="15" spans="1:32" x14ac:dyDescent="0.3">
      <c r="A15" s="114" t="s">
        <v>1</v>
      </c>
      <c r="B15" s="20" t="str">
        <f>UPPER(TEXT(B16,"[$]ddd"))</f>
        <v>SEX</v>
      </c>
      <c r="C15" s="20" t="str">
        <f t="shared" ref="C15:AF15" si="0">UPPER(TEXT(C16,"[$]ddd"))</f>
        <v>SÁB</v>
      </c>
      <c r="D15" s="20" t="str">
        <f t="shared" si="0"/>
        <v>DOM</v>
      </c>
      <c r="E15" s="20" t="str">
        <f t="shared" si="0"/>
        <v>SEG</v>
      </c>
      <c r="F15" s="20" t="str">
        <f t="shared" si="0"/>
        <v>TER</v>
      </c>
      <c r="G15" s="20" t="str">
        <f t="shared" si="0"/>
        <v>QUA</v>
      </c>
      <c r="H15" s="20" t="str">
        <f t="shared" si="0"/>
        <v>QUI</v>
      </c>
      <c r="I15" s="20" t="str">
        <f t="shared" si="0"/>
        <v>SEX</v>
      </c>
      <c r="J15" s="20" t="str">
        <f t="shared" si="0"/>
        <v>SÁB</v>
      </c>
      <c r="K15" s="20" t="str">
        <f t="shared" si="0"/>
        <v>DOM</v>
      </c>
      <c r="L15" s="20" t="str">
        <f t="shared" si="0"/>
        <v>SEG</v>
      </c>
      <c r="M15" s="20" t="str">
        <f t="shared" si="0"/>
        <v>TER</v>
      </c>
      <c r="N15" s="20" t="str">
        <f t="shared" si="0"/>
        <v>QUA</v>
      </c>
      <c r="O15" s="20" t="str">
        <f t="shared" si="0"/>
        <v>QUI</v>
      </c>
      <c r="P15" s="20" t="str">
        <f t="shared" si="0"/>
        <v>SEX</v>
      </c>
      <c r="Q15" s="20" t="str">
        <f t="shared" si="0"/>
        <v>SÁB</v>
      </c>
      <c r="R15" s="20" t="str">
        <f t="shared" si="0"/>
        <v>DOM</v>
      </c>
      <c r="S15" s="20" t="str">
        <f t="shared" si="0"/>
        <v>SEG</v>
      </c>
      <c r="T15" s="20" t="str">
        <f t="shared" si="0"/>
        <v>TER</v>
      </c>
      <c r="U15" s="20" t="str">
        <f t="shared" si="0"/>
        <v>QUA</v>
      </c>
      <c r="V15" s="20" t="str">
        <f t="shared" si="0"/>
        <v>QUI</v>
      </c>
      <c r="W15" s="20" t="str">
        <f t="shared" si="0"/>
        <v>SEX</v>
      </c>
      <c r="X15" s="20" t="str">
        <f t="shared" si="0"/>
        <v>SÁB</v>
      </c>
      <c r="Y15" s="20" t="str">
        <f t="shared" si="0"/>
        <v>DOM</v>
      </c>
      <c r="Z15" s="20" t="str">
        <f t="shared" si="0"/>
        <v>SEG</v>
      </c>
      <c r="AA15" s="20" t="str">
        <f t="shared" si="0"/>
        <v>TER</v>
      </c>
      <c r="AB15" s="20" t="str">
        <f t="shared" si="0"/>
        <v>QUA</v>
      </c>
      <c r="AC15" s="20" t="str">
        <f t="shared" si="0"/>
        <v>QUI</v>
      </c>
      <c r="AD15" s="20" t="str">
        <f t="shared" si="0"/>
        <v>SEX</v>
      </c>
      <c r="AE15" s="20" t="str">
        <f t="shared" si="0"/>
        <v>SÁB</v>
      </c>
      <c r="AF15" s="21" t="str">
        <f t="shared" si="0"/>
        <v>DOM</v>
      </c>
    </row>
    <row r="16" spans="1:32" x14ac:dyDescent="0.3">
      <c r="A16" s="115"/>
      <c r="B16" s="22">
        <f>D5</f>
        <v>46143</v>
      </c>
      <c r="C16" s="23">
        <f>B16+1</f>
        <v>46144</v>
      </c>
      <c r="D16" s="23">
        <f t="shared" ref="D16:AF16" si="1">C16+1</f>
        <v>46145</v>
      </c>
      <c r="E16" s="23">
        <f t="shared" si="1"/>
        <v>46146</v>
      </c>
      <c r="F16" s="23">
        <f t="shared" si="1"/>
        <v>46147</v>
      </c>
      <c r="G16" s="23">
        <f t="shared" si="1"/>
        <v>46148</v>
      </c>
      <c r="H16" s="23">
        <f t="shared" si="1"/>
        <v>46149</v>
      </c>
      <c r="I16" s="23">
        <f t="shared" si="1"/>
        <v>46150</v>
      </c>
      <c r="J16" s="23">
        <f t="shared" si="1"/>
        <v>46151</v>
      </c>
      <c r="K16" s="23">
        <f t="shared" si="1"/>
        <v>46152</v>
      </c>
      <c r="L16" s="23">
        <f t="shared" si="1"/>
        <v>46153</v>
      </c>
      <c r="M16" s="23">
        <f t="shared" si="1"/>
        <v>46154</v>
      </c>
      <c r="N16" s="23">
        <f t="shared" si="1"/>
        <v>46155</v>
      </c>
      <c r="O16" s="23">
        <f t="shared" si="1"/>
        <v>46156</v>
      </c>
      <c r="P16" s="23">
        <f t="shared" si="1"/>
        <v>46157</v>
      </c>
      <c r="Q16" s="23">
        <f t="shared" si="1"/>
        <v>46158</v>
      </c>
      <c r="R16" s="23">
        <f t="shared" si="1"/>
        <v>46159</v>
      </c>
      <c r="S16" s="23">
        <f t="shared" si="1"/>
        <v>46160</v>
      </c>
      <c r="T16" s="23">
        <f t="shared" si="1"/>
        <v>46161</v>
      </c>
      <c r="U16" s="23">
        <f t="shared" si="1"/>
        <v>46162</v>
      </c>
      <c r="V16" s="23">
        <f t="shared" si="1"/>
        <v>46163</v>
      </c>
      <c r="W16" s="23">
        <f t="shared" si="1"/>
        <v>46164</v>
      </c>
      <c r="X16" s="23">
        <f t="shared" si="1"/>
        <v>46165</v>
      </c>
      <c r="Y16" s="23">
        <f t="shared" si="1"/>
        <v>46166</v>
      </c>
      <c r="Z16" s="23">
        <f t="shared" si="1"/>
        <v>46167</v>
      </c>
      <c r="AA16" s="23">
        <f t="shared" si="1"/>
        <v>46168</v>
      </c>
      <c r="AB16" s="23">
        <f t="shared" si="1"/>
        <v>46169</v>
      </c>
      <c r="AC16" s="23">
        <f t="shared" si="1"/>
        <v>46170</v>
      </c>
      <c r="AD16" s="23">
        <f t="shared" si="1"/>
        <v>46171</v>
      </c>
      <c r="AE16" s="23">
        <f t="shared" si="1"/>
        <v>46172</v>
      </c>
      <c r="AF16" s="24">
        <f t="shared" si="1"/>
        <v>46173</v>
      </c>
    </row>
    <row r="17" spans="1:32" x14ac:dyDescent="0.3">
      <c r="A17" s="25" t="s">
        <v>7</v>
      </c>
      <c r="B17" s="19" t="s">
        <v>3</v>
      </c>
      <c r="C17" s="19"/>
      <c r="D17" s="19"/>
      <c r="E17" s="19" t="s">
        <v>3</v>
      </c>
      <c r="F17" s="19" t="s">
        <v>3</v>
      </c>
      <c r="G17" s="19" t="s">
        <v>3</v>
      </c>
      <c r="H17" s="19" t="s">
        <v>3</v>
      </c>
      <c r="I17" s="19" t="s">
        <v>3</v>
      </c>
      <c r="J17" s="19"/>
      <c r="K17" s="19"/>
      <c r="L17" s="19" t="s">
        <v>3</v>
      </c>
      <c r="M17" s="19" t="s">
        <v>3</v>
      </c>
      <c r="N17" s="19" t="s">
        <v>3</v>
      </c>
      <c r="O17" s="19" t="s">
        <v>3</v>
      </c>
      <c r="P17" s="19" t="s">
        <v>3</v>
      </c>
      <c r="Q17" s="19"/>
      <c r="R17" s="19"/>
      <c r="S17" s="19" t="s">
        <v>3</v>
      </c>
      <c r="T17" s="19" t="s">
        <v>3</v>
      </c>
      <c r="U17" s="19" t="s">
        <v>3</v>
      </c>
      <c r="V17" s="19" t="s">
        <v>3</v>
      </c>
      <c r="W17" s="19" t="s">
        <v>3</v>
      </c>
      <c r="X17" s="19"/>
      <c r="Y17" s="19"/>
      <c r="Z17" s="19" t="s">
        <v>3</v>
      </c>
      <c r="AA17" s="19" t="s">
        <v>3</v>
      </c>
      <c r="AB17" s="19" t="s">
        <v>3</v>
      </c>
      <c r="AC17" s="19" t="s">
        <v>3</v>
      </c>
      <c r="AD17" s="19" t="s">
        <v>3</v>
      </c>
      <c r="AE17" s="19"/>
      <c r="AF17" s="26"/>
    </row>
    <row r="18" spans="1:32" x14ac:dyDescent="0.3">
      <c r="A18" s="25" t="s">
        <v>80</v>
      </c>
      <c r="B18" s="19" t="s">
        <v>3</v>
      </c>
      <c r="C18" s="19"/>
      <c r="D18" s="19"/>
      <c r="E18" s="19" t="s">
        <v>3</v>
      </c>
      <c r="F18" s="19" t="s">
        <v>3</v>
      </c>
      <c r="G18" s="19" t="s">
        <v>3</v>
      </c>
      <c r="H18" s="19" t="s">
        <v>3</v>
      </c>
      <c r="I18" s="19" t="s">
        <v>3</v>
      </c>
      <c r="J18" s="19"/>
      <c r="K18" s="19"/>
      <c r="L18" s="19" t="s">
        <v>3</v>
      </c>
      <c r="M18" s="19" t="s">
        <v>3</v>
      </c>
      <c r="N18" s="19" t="s">
        <v>3</v>
      </c>
      <c r="O18" s="19" t="s">
        <v>3</v>
      </c>
      <c r="P18" s="19" t="s">
        <v>3</v>
      </c>
      <c r="Q18" s="19"/>
      <c r="R18" s="19"/>
      <c r="S18" s="19" t="s">
        <v>3</v>
      </c>
      <c r="T18" s="19" t="s">
        <v>3</v>
      </c>
      <c r="U18" s="19" t="s">
        <v>3</v>
      </c>
      <c r="V18" s="19" t="s">
        <v>3</v>
      </c>
      <c r="W18" s="19" t="s">
        <v>3</v>
      </c>
      <c r="X18" s="19"/>
      <c r="Y18" s="19"/>
      <c r="Z18" s="19" t="s">
        <v>3</v>
      </c>
      <c r="AA18" s="19" t="s">
        <v>3</v>
      </c>
      <c r="AB18" s="19" t="s">
        <v>3</v>
      </c>
      <c r="AC18" s="19" t="s">
        <v>3</v>
      </c>
      <c r="AD18" s="19" t="s">
        <v>3</v>
      </c>
      <c r="AE18" s="19"/>
      <c r="AF18" s="26"/>
    </row>
    <row r="19" spans="1:32" x14ac:dyDescent="0.3">
      <c r="A19" s="25" t="s">
        <v>6</v>
      </c>
      <c r="B19" s="19" t="s">
        <v>3</v>
      </c>
      <c r="C19" s="19"/>
      <c r="D19" s="19"/>
      <c r="E19" s="19" t="s">
        <v>3</v>
      </c>
      <c r="F19" s="19" t="s">
        <v>3</v>
      </c>
      <c r="G19" s="19" t="s">
        <v>3</v>
      </c>
      <c r="H19" s="19" t="s">
        <v>3</v>
      </c>
      <c r="I19" s="19" t="s">
        <v>3</v>
      </c>
      <c r="J19" s="19"/>
      <c r="K19" s="19"/>
      <c r="L19" s="19" t="s">
        <v>3</v>
      </c>
      <c r="M19" s="19" t="s">
        <v>3</v>
      </c>
      <c r="N19" s="19" t="s">
        <v>3</v>
      </c>
      <c r="O19" s="19" t="s">
        <v>3</v>
      </c>
      <c r="P19" s="19" t="s">
        <v>3</v>
      </c>
      <c r="Q19" s="19"/>
      <c r="R19" s="19"/>
      <c r="S19" s="19" t="s">
        <v>3</v>
      </c>
      <c r="T19" s="19" t="s">
        <v>3</v>
      </c>
      <c r="U19" s="19" t="s">
        <v>3</v>
      </c>
      <c r="V19" s="19" t="s">
        <v>3</v>
      </c>
      <c r="W19" s="19" t="s">
        <v>3</v>
      </c>
      <c r="X19" s="19"/>
      <c r="Y19" s="19"/>
      <c r="Z19" s="19" t="s">
        <v>3</v>
      </c>
      <c r="AA19" s="19" t="s">
        <v>3</v>
      </c>
      <c r="AB19" s="19" t="s">
        <v>3</v>
      </c>
      <c r="AC19" s="19" t="s">
        <v>3</v>
      </c>
      <c r="AD19" s="19" t="s">
        <v>3</v>
      </c>
      <c r="AE19" s="19"/>
      <c r="AF19" s="26"/>
    </row>
    <row r="20" spans="1:32" x14ac:dyDescent="0.3">
      <c r="A20" s="25" t="s">
        <v>73</v>
      </c>
      <c r="B20" s="19" t="s">
        <v>3</v>
      </c>
      <c r="C20" s="19"/>
      <c r="D20" s="19"/>
      <c r="E20" s="19" t="s">
        <v>16</v>
      </c>
      <c r="F20" s="19" t="s">
        <v>16</v>
      </c>
      <c r="G20" s="19" t="s">
        <v>16</v>
      </c>
      <c r="H20" s="19" t="s">
        <v>16</v>
      </c>
      <c r="I20" s="19" t="s">
        <v>16</v>
      </c>
      <c r="J20" s="19" t="s">
        <v>16</v>
      </c>
      <c r="K20" s="19" t="s">
        <v>16</v>
      </c>
      <c r="L20" s="19" t="s">
        <v>16</v>
      </c>
      <c r="M20" s="19" t="s">
        <v>16</v>
      </c>
      <c r="N20" s="19" t="s">
        <v>16</v>
      </c>
      <c r="O20" s="19" t="s">
        <v>16</v>
      </c>
      <c r="P20" s="19" t="s">
        <v>16</v>
      </c>
      <c r="Q20" s="19" t="s">
        <v>16</v>
      </c>
      <c r="R20" s="19" t="s">
        <v>16</v>
      </c>
      <c r="S20" s="19" t="s">
        <v>16</v>
      </c>
      <c r="T20" s="19" t="s">
        <v>16</v>
      </c>
      <c r="U20" s="19" t="s">
        <v>16</v>
      </c>
      <c r="V20" s="19" t="s">
        <v>16</v>
      </c>
      <c r="W20" s="19" t="s">
        <v>16</v>
      </c>
      <c r="X20" s="19" t="s">
        <v>16</v>
      </c>
      <c r="Y20" s="19"/>
      <c r="Z20" s="19" t="s">
        <v>3</v>
      </c>
      <c r="AA20" s="19" t="s">
        <v>3</v>
      </c>
      <c r="AB20" s="19" t="s">
        <v>3</v>
      </c>
      <c r="AC20" s="19" t="s">
        <v>3</v>
      </c>
      <c r="AD20" s="19" t="s">
        <v>3</v>
      </c>
      <c r="AE20" s="19"/>
      <c r="AF20" s="26"/>
    </row>
    <row r="21" spans="1:32" x14ac:dyDescent="0.3">
      <c r="A21" s="25" t="s">
        <v>9</v>
      </c>
      <c r="B21" s="19" t="s">
        <v>8</v>
      </c>
      <c r="C21" s="19"/>
      <c r="D21" s="19"/>
      <c r="E21" s="19" t="s">
        <v>8</v>
      </c>
      <c r="F21" s="19" t="s">
        <v>8</v>
      </c>
      <c r="G21" s="19" t="s">
        <v>8</v>
      </c>
      <c r="H21" s="19" t="s">
        <v>8</v>
      </c>
      <c r="I21" s="19" t="s">
        <v>8</v>
      </c>
      <c r="J21" s="19"/>
      <c r="K21" s="19"/>
      <c r="L21" s="19" t="s">
        <v>8</v>
      </c>
      <c r="M21" s="19" t="s">
        <v>8</v>
      </c>
      <c r="N21" s="19" t="s">
        <v>8</v>
      </c>
      <c r="O21" s="19" t="s">
        <v>8</v>
      </c>
      <c r="P21" s="19" t="s">
        <v>8</v>
      </c>
      <c r="Q21" s="19"/>
      <c r="R21" s="19"/>
      <c r="S21" s="19" t="s">
        <v>8</v>
      </c>
      <c r="T21" s="19" t="s">
        <v>8</v>
      </c>
      <c r="U21" s="19" t="s">
        <v>8</v>
      </c>
      <c r="V21" s="19" t="s">
        <v>8</v>
      </c>
      <c r="W21" s="19" t="s">
        <v>8</v>
      </c>
      <c r="X21" s="19"/>
      <c r="Y21" s="19"/>
      <c r="Z21" s="19" t="s">
        <v>8</v>
      </c>
      <c r="AA21" s="19" t="s">
        <v>8</v>
      </c>
      <c r="AB21" s="19" t="s">
        <v>8</v>
      </c>
      <c r="AC21" s="19" t="s">
        <v>8</v>
      </c>
      <c r="AD21" s="19" t="s">
        <v>8</v>
      </c>
      <c r="AE21" s="19"/>
      <c r="AF21" s="26"/>
    </row>
    <row r="22" spans="1:32" x14ac:dyDescent="0.3">
      <c r="A22" s="25" t="s">
        <v>74</v>
      </c>
      <c r="B22" s="19" t="s">
        <v>8</v>
      </c>
      <c r="C22" s="19"/>
      <c r="D22" s="19"/>
      <c r="E22" s="19" t="s">
        <v>8</v>
      </c>
      <c r="F22" s="19" t="s">
        <v>8</v>
      </c>
      <c r="G22" s="19" t="s">
        <v>8</v>
      </c>
      <c r="H22" s="19" t="s">
        <v>8</v>
      </c>
      <c r="I22" s="19" t="s">
        <v>8</v>
      </c>
      <c r="J22" s="19"/>
      <c r="K22" s="19"/>
      <c r="L22" s="19" t="s">
        <v>8</v>
      </c>
      <c r="M22" s="19" t="s">
        <v>8</v>
      </c>
      <c r="N22" s="19" t="s">
        <v>8</v>
      </c>
      <c r="O22" s="19" t="s">
        <v>8</v>
      </c>
      <c r="P22" s="19" t="s">
        <v>8</v>
      </c>
      <c r="Q22" s="19"/>
      <c r="R22" s="19"/>
      <c r="S22" s="19" t="s">
        <v>8</v>
      </c>
      <c r="T22" s="19" t="s">
        <v>8</v>
      </c>
      <c r="U22" s="19" t="s">
        <v>8</v>
      </c>
      <c r="V22" s="19" t="s">
        <v>8</v>
      </c>
      <c r="W22" s="19" t="s">
        <v>8</v>
      </c>
      <c r="X22" s="19"/>
      <c r="Y22" s="19"/>
      <c r="Z22" s="19" t="s">
        <v>8</v>
      </c>
      <c r="AA22" s="19" t="s">
        <v>8</v>
      </c>
      <c r="AB22" s="19" t="s">
        <v>8</v>
      </c>
      <c r="AC22" s="19" t="s">
        <v>8</v>
      </c>
      <c r="AD22" s="19" t="s">
        <v>8</v>
      </c>
      <c r="AE22" s="19"/>
      <c r="AF22" s="26"/>
    </row>
    <row r="23" spans="1:32" x14ac:dyDescent="0.3">
      <c r="A23" s="25" t="s">
        <v>10</v>
      </c>
      <c r="B23" s="19" t="s">
        <v>11</v>
      </c>
      <c r="C23" s="19"/>
      <c r="D23" s="19"/>
      <c r="E23" s="19" t="s">
        <v>11</v>
      </c>
      <c r="F23" s="19" t="s">
        <v>11</v>
      </c>
      <c r="G23" s="19" t="s">
        <v>11</v>
      </c>
      <c r="H23" s="19" t="s">
        <v>11</v>
      </c>
      <c r="I23" s="19" t="s">
        <v>11</v>
      </c>
      <c r="J23" s="19"/>
      <c r="K23" s="19"/>
      <c r="L23" s="19" t="s">
        <v>11</v>
      </c>
      <c r="M23" s="19" t="s">
        <v>11</v>
      </c>
      <c r="N23" s="19" t="s">
        <v>11</v>
      </c>
      <c r="O23" s="19" t="s">
        <v>11</v>
      </c>
      <c r="P23" s="19" t="s">
        <v>11</v>
      </c>
      <c r="Q23" s="19"/>
      <c r="R23" s="19"/>
      <c r="S23" s="19" t="s">
        <v>11</v>
      </c>
      <c r="T23" s="19" t="s">
        <v>11</v>
      </c>
      <c r="U23" s="19" t="s">
        <v>11</v>
      </c>
      <c r="V23" s="19" t="s">
        <v>11</v>
      </c>
      <c r="W23" s="19" t="s">
        <v>11</v>
      </c>
      <c r="X23" s="19"/>
      <c r="Y23" s="19"/>
      <c r="Z23" s="19" t="s">
        <v>11</v>
      </c>
      <c r="AA23" s="19" t="s">
        <v>11</v>
      </c>
      <c r="AB23" s="19" t="s">
        <v>11</v>
      </c>
      <c r="AC23" s="19" t="s">
        <v>11</v>
      </c>
      <c r="AD23" s="19" t="s">
        <v>11</v>
      </c>
      <c r="AE23" s="19"/>
      <c r="AF23" s="26"/>
    </row>
    <row r="24" spans="1:32" ht="15" thickBot="1" x14ac:dyDescent="0.35">
      <c r="A24" s="27" t="s">
        <v>12</v>
      </c>
      <c r="B24" s="28" t="s">
        <v>11</v>
      </c>
      <c r="C24" s="28"/>
      <c r="D24" s="28"/>
      <c r="E24" s="28" t="s">
        <v>11</v>
      </c>
      <c r="F24" s="28" t="s">
        <v>11</v>
      </c>
      <c r="G24" s="28" t="s">
        <v>11</v>
      </c>
      <c r="H24" s="28" t="s">
        <v>11</v>
      </c>
      <c r="I24" s="28" t="s">
        <v>11</v>
      </c>
      <c r="J24" s="28"/>
      <c r="K24" s="28"/>
      <c r="L24" s="28" t="s">
        <v>11</v>
      </c>
      <c r="M24" s="28" t="s">
        <v>11</v>
      </c>
      <c r="N24" s="28" t="s">
        <v>11</v>
      </c>
      <c r="O24" s="28" t="s">
        <v>11</v>
      </c>
      <c r="P24" s="28" t="s">
        <v>11</v>
      </c>
      <c r="Q24" s="28"/>
      <c r="R24" s="28"/>
      <c r="S24" s="28" t="s">
        <v>11</v>
      </c>
      <c r="T24" s="28" t="s">
        <v>11</v>
      </c>
      <c r="U24" s="28" t="s">
        <v>11</v>
      </c>
      <c r="V24" s="28" t="s">
        <v>11</v>
      </c>
      <c r="W24" s="28" t="s">
        <v>11</v>
      </c>
      <c r="X24" s="28"/>
      <c r="Y24" s="28"/>
      <c r="Z24" s="28" t="s">
        <v>11</v>
      </c>
      <c r="AA24" s="28" t="s">
        <v>11</v>
      </c>
      <c r="AB24" s="28" t="s">
        <v>11</v>
      </c>
      <c r="AC24" s="28" t="s">
        <v>11</v>
      </c>
      <c r="AD24" s="28" t="s">
        <v>11</v>
      </c>
      <c r="AE24" s="28"/>
      <c r="AF24" s="29"/>
    </row>
    <row r="25" spans="1:3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</sheetData>
  <mergeCells count="40">
    <mergeCell ref="S5:U5"/>
    <mergeCell ref="V5:X5"/>
    <mergeCell ref="Z5:AD5"/>
    <mergeCell ref="B6:C6"/>
    <mergeCell ref="D6:G6"/>
    <mergeCell ref="H6:I6"/>
    <mergeCell ref="P6:R6"/>
    <mergeCell ref="S6:U6"/>
    <mergeCell ref="V6:X6"/>
    <mergeCell ref="AA6:AB6"/>
    <mergeCell ref="B5:C5"/>
    <mergeCell ref="D5:G5"/>
    <mergeCell ref="H5:I5"/>
    <mergeCell ref="M5:M7"/>
    <mergeCell ref="N5:O7"/>
    <mergeCell ref="P5:R5"/>
    <mergeCell ref="AC6:AD6"/>
    <mergeCell ref="B7:C7"/>
    <mergeCell ref="D7:G7"/>
    <mergeCell ref="H7:I7"/>
    <mergeCell ref="P7:R7"/>
    <mergeCell ref="S7:U7"/>
    <mergeCell ref="V7:X7"/>
    <mergeCell ref="AA7:AB7"/>
    <mergeCell ref="AC7:AD7"/>
    <mergeCell ref="A15:A16"/>
    <mergeCell ref="H10:I10"/>
    <mergeCell ref="A14:AF14"/>
    <mergeCell ref="AC8:AD8"/>
    <mergeCell ref="H9:I9"/>
    <mergeCell ref="N9:O9"/>
    <mergeCell ref="P9:R9"/>
    <mergeCell ref="S9:U9"/>
    <mergeCell ref="V9:X9"/>
    <mergeCell ref="H8:I8"/>
    <mergeCell ref="N8:O8"/>
    <mergeCell ref="P8:R8"/>
    <mergeCell ref="S8:U8"/>
    <mergeCell ref="V8:X8"/>
    <mergeCell ref="AA8:AB8"/>
  </mergeCells>
  <conditionalFormatting sqref="B3:AF3">
    <cfRule type="containsText" dxfId="687" priority="49" operator="containsText" text="FE">
      <formula>NOT(ISERROR(SEARCH("FE",B3)))</formula>
    </cfRule>
  </conditionalFormatting>
  <conditionalFormatting sqref="B17:AF24">
    <cfRule type="containsText" dxfId="686" priority="12" operator="containsText" text="HB">
      <formula>NOT(ISERROR(SEARCH("HB",B17)))</formula>
    </cfRule>
    <cfRule type="containsText" dxfId="685" priority="33" operator="containsText" text="OT">
      <formula>NOT(ISERROR(SEARCH("OT",B17)))</formula>
    </cfRule>
    <cfRule type="containsText" dxfId="684" priority="34" operator="containsText" text="SD">
      <formula>NOT(ISERROR(SEARCH("SD",B17)))</formula>
    </cfRule>
    <cfRule type="containsText" dxfId="683" priority="35" operator="containsText" text="E3">
      <formula>NOT(ISERROR(SEARCH("E3",B17)))</formula>
    </cfRule>
    <cfRule type="containsText" dxfId="682" priority="36" operator="containsText" text="E2">
      <formula>NOT(ISERROR(SEARCH("E2",B17)))</formula>
    </cfRule>
    <cfRule type="containsText" dxfId="681" priority="37" operator="containsText" text="E1">
      <formula>NOT(ISERROR(SEARCH("E1",B17)))</formula>
    </cfRule>
    <cfRule type="containsText" dxfId="680" priority="44" operator="containsText" text="DO">
      <formula>NOT(ISERROR(SEARCH("DO",B17)))</formula>
    </cfRule>
    <cfRule type="containsText" dxfId="679" priority="45" operator="containsText" text="VA">
      <formula>NOT(ISERROR(SEARCH("VA",B17)))</formula>
    </cfRule>
    <cfRule type="containsText" dxfId="678" priority="46" operator="containsText" text="T1">
      <formula>NOT(ISERROR(SEARCH("T1",B17)))</formula>
    </cfRule>
    <cfRule type="containsText" dxfId="677" priority="47" operator="containsText" text="T2">
      <formula>NOT(ISERROR(SEARCH("T2",B17)))</formula>
    </cfRule>
    <cfRule type="containsText" dxfId="676" priority="48" operator="containsText" text="T3">
      <formula>NOT(ISERROR(SEARCH("T3",B17)))</formula>
    </cfRule>
  </conditionalFormatting>
  <conditionalFormatting sqref="B15:AF15">
    <cfRule type="containsText" dxfId="675" priority="42" operator="containsText" text="DOM">
      <formula>NOT(ISERROR(SEARCH("DOM",B15)))</formula>
    </cfRule>
    <cfRule type="containsText" dxfId="674" priority="43" operator="containsText" text="SÁB">
      <formula>NOT(ISERROR(SEARCH("SÁB",B15)))</formula>
    </cfRule>
  </conditionalFormatting>
  <conditionalFormatting sqref="J7">
    <cfRule type="containsText" dxfId="673" priority="41" operator="containsText" text="FE">
      <formula>NOT(ISERROR(SEARCH("FE",J7)))</formula>
    </cfRule>
  </conditionalFormatting>
  <conditionalFormatting sqref="M5">
    <cfRule type="containsText" dxfId="672" priority="38" operator="containsText" text="T3">
      <formula>NOT(ISERROR(SEARCH("T3",M5)))</formula>
    </cfRule>
    <cfRule type="containsText" dxfId="671" priority="39" operator="containsText" text="T2">
      <formula>NOT(ISERROR(SEARCH("T2",M5)))</formula>
    </cfRule>
    <cfRule type="containsText" dxfId="670" priority="40" operator="containsText" text="T1">
      <formula>NOT(ISERROR(SEARCH("T1",M5)))</formula>
    </cfRule>
  </conditionalFormatting>
  <conditionalFormatting sqref="B16">
    <cfRule type="expression" dxfId="669" priority="50">
      <formula>$B$3="FE"</formula>
    </cfRule>
  </conditionalFormatting>
  <conditionalFormatting sqref="C16">
    <cfRule type="expression" dxfId="668" priority="51">
      <formula>$C$3="FE"</formula>
    </cfRule>
    <cfRule type="expression" dxfId="667" priority="52">
      <formula>$C$3="FE"</formula>
    </cfRule>
  </conditionalFormatting>
  <conditionalFormatting sqref="D16">
    <cfRule type="expression" dxfId="666" priority="53">
      <formula>$D$3="FE"</formula>
    </cfRule>
    <cfRule type="expression" dxfId="665" priority="54">
      <formula>$D$3="FE"</formula>
    </cfRule>
  </conditionalFormatting>
  <conditionalFormatting sqref="F16">
    <cfRule type="expression" dxfId="664" priority="55">
      <formula>$F$3="FE"</formula>
    </cfRule>
    <cfRule type="expression" dxfId="663" priority="56">
      <formula>$F$3="FE"</formula>
    </cfRule>
  </conditionalFormatting>
  <conditionalFormatting sqref="G16">
    <cfRule type="expression" dxfId="662" priority="57">
      <formula>$G$3="FE"</formula>
    </cfRule>
    <cfRule type="expression" dxfId="661" priority="58">
      <formula>$G$3="FE"</formula>
    </cfRule>
  </conditionalFormatting>
  <conditionalFormatting sqref="H16">
    <cfRule type="expression" dxfId="660" priority="59">
      <formula>$H$3="FE"</formula>
    </cfRule>
  </conditionalFormatting>
  <conditionalFormatting sqref="I16">
    <cfRule type="expression" dxfId="659" priority="60">
      <formula>$I$3="FE"</formula>
    </cfRule>
    <cfRule type="expression" dxfId="658" priority="61">
      <formula>$I$3="FE"</formula>
    </cfRule>
  </conditionalFormatting>
  <conditionalFormatting sqref="J16">
    <cfRule type="expression" dxfId="657" priority="62">
      <formula>$J$3="FE"</formula>
    </cfRule>
    <cfRule type="expression" dxfId="656" priority="63">
      <formula>$J$3="FE"</formula>
    </cfRule>
  </conditionalFormatting>
  <conditionalFormatting sqref="K16">
    <cfRule type="expression" dxfId="655" priority="64">
      <formula>$K$3="FE"</formula>
    </cfRule>
  </conditionalFormatting>
  <conditionalFormatting sqref="L16">
    <cfRule type="expression" dxfId="654" priority="65">
      <formula>$L$3="FE"</formula>
    </cfRule>
  </conditionalFormatting>
  <conditionalFormatting sqref="M16">
    <cfRule type="expression" dxfId="653" priority="66">
      <formula>$M$3="FE"</formula>
    </cfRule>
  </conditionalFormatting>
  <conditionalFormatting sqref="N16">
    <cfRule type="expression" dxfId="652" priority="67">
      <formula>$N$3="FE"</formula>
    </cfRule>
  </conditionalFormatting>
  <conditionalFormatting sqref="O16">
    <cfRule type="expression" dxfId="651" priority="68">
      <formula>$O$3="FE"</formula>
    </cfRule>
  </conditionalFormatting>
  <conditionalFormatting sqref="P16">
    <cfRule type="expression" dxfId="650" priority="69">
      <formula>$P$3="FE"</formula>
    </cfRule>
  </conditionalFormatting>
  <conditionalFormatting sqref="Q16">
    <cfRule type="expression" dxfId="649" priority="70">
      <formula>$Q$3="FE"</formula>
    </cfRule>
  </conditionalFormatting>
  <conditionalFormatting sqref="R16">
    <cfRule type="expression" dxfId="648" priority="71">
      <formula>$R$3="FE"</formula>
    </cfRule>
  </conditionalFormatting>
  <conditionalFormatting sqref="S16">
    <cfRule type="expression" dxfId="647" priority="72">
      <formula>$S$3="FE"</formula>
    </cfRule>
  </conditionalFormatting>
  <conditionalFormatting sqref="T16">
    <cfRule type="expression" dxfId="646" priority="73">
      <formula>$T$3="FE"</formula>
    </cfRule>
  </conditionalFormatting>
  <conditionalFormatting sqref="U16">
    <cfRule type="expression" dxfId="645" priority="74">
      <formula>$U$3="FE"</formula>
    </cfRule>
  </conditionalFormatting>
  <conditionalFormatting sqref="V16">
    <cfRule type="expression" dxfId="644" priority="75">
      <formula>$V$3="FE"</formula>
    </cfRule>
  </conditionalFormatting>
  <conditionalFormatting sqref="W16">
    <cfRule type="expression" dxfId="643" priority="76">
      <formula>$W$3="FE"</formula>
    </cfRule>
  </conditionalFormatting>
  <conditionalFormatting sqref="X16">
    <cfRule type="expression" dxfId="642" priority="77">
      <formula>$X$3="FE"</formula>
    </cfRule>
  </conditionalFormatting>
  <conditionalFormatting sqref="Y16">
    <cfRule type="expression" dxfId="641" priority="78">
      <formula>$Y$3="FE"</formula>
    </cfRule>
  </conditionalFormatting>
  <conditionalFormatting sqref="Z16">
    <cfRule type="expression" dxfId="640" priority="79">
      <formula>$Z$3="FE"</formula>
    </cfRule>
  </conditionalFormatting>
  <conditionalFormatting sqref="AA16">
    <cfRule type="expression" dxfId="639" priority="80">
      <formula>$AA$3="FE"</formula>
    </cfRule>
  </conditionalFormatting>
  <conditionalFormatting sqref="AB16">
    <cfRule type="expression" dxfId="638" priority="81">
      <formula>$AB$3="FE"</formula>
    </cfRule>
  </conditionalFormatting>
  <conditionalFormatting sqref="AC16">
    <cfRule type="expression" dxfId="637" priority="82">
      <formula>$AC$3="FE"</formula>
    </cfRule>
  </conditionalFormatting>
  <conditionalFormatting sqref="AD16">
    <cfRule type="expression" dxfId="636" priority="83">
      <formula>$AD$3="FE"</formula>
    </cfRule>
  </conditionalFormatting>
  <conditionalFormatting sqref="AE16">
    <cfRule type="expression" dxfId="635" priority="84">
      <formula>$AE$3="FE"</formula>
    </cfRule>
  </conditionalFormatting>
  <conditionalFormatting sqref="AF16">
    <cfRule type="expression" dxfId="634" priority="85">
      <formula>$AF$3="FE"</formula>
    </cfRule>
  </conditionalFormatting>
  <conditionalFormatting sqref="E16">
    <cfRule type="expression" dxfId="633" priority="86">
      <formula>$E$3="FE"</formula>
    </cfRule>
  </conditionalFormatting>
  <conditionalFormatting sqref="Z6:Z8 J5 J8:J10">
    <cfRule type="containsText" dxfId="632" priority="23" operator="containsText" text="OT">
      <formula>NOT(ISERROR(SEARCH("OT",J5)))</formula>
    </cfRule>
    <cfRule type="containsText" dxfId="631" priority="24" operator="containsText" text="SD">
      <formula>NOT(ISERROR(SEARCH("SD",J5)))</formula>
    </cfRule>
    <cfRule type="containsText" dxfId="630" priority="25" operator="containsText" text="E3">
      <formula>NOT(ISERROR(SEARCH("E3",J5)))</formula>
    </cfRule>
    <cfRule type="containsText" dxfId="629" priority="26" operator="containsText" text="E2">
      <formula>NOT(ISERROR(SEARCH("E2",J5)))</formula>
    </cfRule>
    <cfRule type="containsText" dxfId="628" priority="27" operator="containsText" text="E1">
      <formula>NOT(ISERROR(SEARCH("E1",J5)))</formula>
    </cfRule>
    <cfRule type="containsText" dxfId="627" priority="28" operator="containsText" text="DO">
      <formula>NOT(ISERROR(SEARCH("DO",J5)))</formula>
    </cfRule>
    <cfRule type="containsText" dxfId="626" priority="29" operator="containsText" text="VA">
      <formula>NOT(ISERROR(SEARCH("VA",J5)))</formula>
    </cfRule>
    <cfRule type="containsText" dxfId="625" priority="30" operator="containsText" text="T1">
      <formula>NOT(ISERROR(SEARCH("T1",J5)))</formula>
    </cfRule>
    <cfRule type="containsText" dxfId="624" priority="31" operator="containsText" text="T2">
      <formula>NOT(ISERROR(SEARCH("T2",J5)))</formula>
    </cfRule>
    <cfRule type="containsText" dxfId="623" priority="32" operator="containsText" text="T3">
      <formula>NOT(ISERROR(SEARCH("T3",J5)))</formula>
    </cfRule>
  </conditionalFormatting>
  <conditionalFormatting sqref="M8:M9">
    <cfRule type="containsText" dxfId="622" priority="13" operator="containsText" text="OT">
      <formula>NOT(ISERROR(SEARCH("OT",M8)))</formula>
    </cfRule>
    <cfRule type="containsText" dxfId="621" priority="14" operator="containsText" text="SD">
      <formula>NOT(ISERROR(SEARCH("SD",M8)))</formula>
    </cfRule>
    <cfRule type="containsText" dxfId="620" priority="15" operator="containsText" text="E3">
      <formula>NOT(ISERROR(SEARCH("E3",M8)))</formula>
    </cfRule>
    <cfRule type="containsText" dxfId="619" priority="16" operator="containsText" text="E2">
      <formula>NOT(ISERROR(SEARCH("E2",M8)))</formula>
    </cfRule>
    <cfRule type="containsText" dxfId="618" priority="17" operator="containsText" text="E1">
      <formula>NOT(ISERROR(SEARCH("E1",M8)))</formula>
    </cfRule>
    <cfRule type="containsText" dxfId="617" priority="18" operator="containsText" text="DO">
      <formula>NOT(ISERROR(SEARCH("DO",M8)))</formula>
    </cfRule>
    <cfRule type="containsText" dxfId="616" priority="19" operator="containsText" text="VA">
      <formula>NOT(ISERROR(SEARCH("VA",M8)))</formula>
    </cfRule>
    <cfRule type="containsText" dxfId="615" priority="20" operator="containsText" text="T1">
      <formula>NOT(ISERROR(SEARCH("T1",M8)))</formula>
    </cfRule>
    <cfRule type="containsText" dxfId="614" priority="21" operator="containsText" text="T2">
      <formula>NOT(ISERROR(SEARCH("T2",M8)))</formula>
    </cfRule>
    <cfRule type="containsText" dxfId="613" priority="22" operator="containsText" text="T3">
      <formula>NOT(ISERROR(SEARCH("T3",M8)))</formula>
    </cfRule>
  </conditionalFormatting>
  <conditionalFormatting sqref="J6">
    <cfRule type="containsText" dxfId="612" priority="1" operator="containsText" text="HB">
      <formula>NOT(ISERROR(SEARCH("HB",J6)))</formula>
    </cfRule>
    <cfRule type="containsText" dxfId="611" priority="2" operator="containsText" text="OT">
      <formula>NOT(ISERROR(SEARCH("OT",J6)))</formula>
    </cfRule>
    <cfRule type="containsText" dxfId="610" priority="3" operator="containsText" text="SD">
      <formula>NOT(ISERROR(SEARCH("SD",J6)))</formula>
    </cfRule>
    <cfRule type="containsText" dxfId="609" priority="4" operator="containsText" text="E3">
      <formula>NOT(ISERROR(SEARCH("E3",J6)))</formula>
    </cfRule>
    <cfRule type="containsText" dxfId="608" priority="5" operator="containsText" text="E2">
      <formula>NOT(ISERROR(SEARCH("E2",J6)))</formula>
    </cfRule>
    <cfRule type="containsText" dxfId="607" priority="6" operator="containsText" text="E1">
      <formula>NOT(ISERROR(SEARCH("E1",J6)))</formula>
    </cfRule>
    <cfRule type="containsText" dxfId="606" priority="7" operator="containsText" text="DO">
      <formula>NOT(ISERROR(SEARCH("DO",J6)))</formula>
    </cfRule>
    <cfRule type="containsText" dxfId="605" priority="8" operator="containsText" text="VA">
      <formula>NOT(ISERROR(SEARCH("VA",J6)))</formula>
    </cfRule>
    <cfRule type="containsText" dxfId="604" priority="9" operator="containsText" text="T1">
      <formula>NOT(ISERROR(SEARCH("T1",J6)))</formula>
    </cfRule>
    <cfRule type="containsText" dxfId="603" priority="10" operator="containsText" text="T2">
      <formula>NOT(ISERROR(SEARCH("T2",J6)))</formula>
    </cfRule>
    <cfRule type="containsText" dxfId="602" priority="11" operator="containsText" text="T3">
      <formula>NOT(ISERROR(SEARCH("T3",J6)))</formula>
    </cfRule>
  </conditionalFormatting>
  <dataValidations count="1">
    <dataValidation type="list" allowBlank="1" showInputMessage="1" showErrorMessage="1" sqref="M5" xr:uid="{DEEB3A17-12DC-4EBB-ADB9-A565D47062D4}">
      <formula1>#REF!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5A236EFE-C23A-4DE6-8717-371EE2E74109}">
          <x14:formula1>
            <xm:f>Configuração!$N$7:$N$23</xm:f>
          </x14:formula1>
          <xm:sqref>AC6:AD8</xm:sqref>
        </x14:dataValidation>
        <x14:dataValidation type="list" allowBlank="1" showInputMessage="1" showErrorMessage="1" xr:uid="{68EBD90E-156B-4737-958F-87CB8F038863}">
          <x14:formula1>
            <xm:f>Configuração!$N$7:$N$1048576</xm:f>
          </x14:formula1>
          <xm:sqref>P5:P9</xm:sqref>
        </x14:dataValidation>
        <x14:dataValidation type="list" allowBlank="1" showInputMessage="1" showErrorMessage="1" xr:uid="{5905B3BA-B394-42D6-B73E-0D5DDCF12228}">
          <x14:formula1>
            <xm:f>Configuração!$U$7:$U$17</xm:f>
          </x14:formula1>
          <xm:sqref>J6</xm:sqref>
        </x14:dataValidation>
        <x14:dataValidation type="list" allowBlank="1" showInputMessage="1" showErrorMessage="1" xr:uid="{3DF16793-4F8D-4BDC-8E99-357CB54F2E87}">
          <x14:formula1>
            <xm:f>Configuração!$U$7:$U$16</xm:f>
          </x14:formula1>
          <xm:sqref>Z6:Z8 J8:J10 J5 M8:M9</xm:sqref>
        </x14:dataValidation>
        <x14:dataValidation type="list" allowBlank="1" showInputMessage="1" showErrorMessage="1" xr:uid="{AD005FC6-7C28-4DF7-AEF7-761854D29348}">
          <x14:formula1>
            <xm:f>Configuração!$L$7:$L$27</xm:f>
          </x14:formula1>
          <xm:sqref>S5:X9 A17:A24</xm:sqref>
        </x14:dataValidation>
        <x14:dataValidation type="list" allowBlank="1" showInputMessage="1" showErrorMessage="1" xr:uid="{D6EDB7FB-7054-41FA-AAD3-72D16EE051DD}">
          <x14:formula1>
            <xm:f>Configuração!$Q$6:$Q$56</xm:f>
          </x14:formula1>
          <xm:sqref>D5:G5</xm:sqref>
        </x14:dataValidation>
        <x14:dataValidation type="list" allowBlank="1" showInputMessage="1" showErrorMessage="1" xr:uid="{2E909092-A18E-4F4B-9000-224A3B602F9F}">
          <x14:formula1>
            <xm:f>Configuração!$U$7:$U$22</xm:f>
          </x14:formula1>
          <xm:sqref>B17:AF37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42523-652F-4065-8EFE-BBF27EEEBAFF}">
  <sheetPr codeName="Planilha9"/>
  <dimension ref="A1:AF40"/>
  <sheetViews>
    <sheetView zoomScale="90" zoomScaleNormal="90" workbookViewId="0">
      <selection activeCell="AG1" sqref="AG1"/>
    </sheetView>
  </sheetViews>
  <sheetFormatPr defaultRowHeight="14.4" x14ac:dyDescent="0.3"/>
  <cols>
    <col min="1" max="1" width="11.77734375" bestFit="1" customWidth="1"/>
    <col min="2" max="32" width="6.6640625" customWidth="1"/>
  </cols>
  <sheetData>
    <row r="1" spans="1:32" ht="31.2" x14ac:dyDescent="0.3">
      <c r="A1" s="12"/>
      <c r="B1" s="12"/>
      <c r="C1" s="12"/>
      <c r="D1" s="12"/>
      <c r="E1" s="13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 ht="78.75" customHeight="1" x14ac:dyDescent="0.3">
      <c r="A2" s="14"/>
      <c r="B2" s="14"/>
      <c r="C2" s="14"/>
      <c r="D2" s="14"/>
      <c r="E2" s="1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32" ht="15" hidden="1" thickBot="1" x14ac:dyDescent="0.35">
      <c r="A3" s="8" t="s">
        <v>13</v>
      </c>
      <c r="B3" s="9" t="str">
        <f>IF(MONTH(D5)=5,"FE",IF(MONTH(D5)=1,"FE",""))</f>
        <v/>
      </c>
      <c r="C3" s="10" t="str">
        <f>IF(MONTH(D5)=11,"FE","")</f>
        <v/>
      </c>
      <c r="D3" s="10"/>
      <c r="E3" s="10" t="str">
        <f>IF(MONTH(D5)=6,"FE","")</f>
        <v>FE</v>
      </c>
      <c r="F3" s="10"/>
      <c r="G3" s="10"/>
      <c r="H3" s="10" t="str">
        <f>IF(MONTH(D5)=9,"FE","")</f>
        <v/>
      </c>
      <c r="I3" s="10"/>
      <c r="J3" s="10"/>
      <c r="K3" s="10"/>
      <c r="L3" s="10"/>
      <c r="M3" s="10" t="str">
        <f>IF(MONTH(D5)=10,"FE","")</f>
        <v/>
      </c>
      <c r="N3" s="10"/>
      <c r="O3" s="10"/>
      <c r="P3" s="10" t="str">
        <f>IF(MONTH(D5)=11,"FE","")</f>
        <v/>
      </c>
      <c r="Q3" s="10"/>
      <c r="R3" s="10"/>
      <c r="S3" s="10"/>
      <c r="T3" s="10"/>
      <c r="U3" s="10" t="str">
        <f>IF(MONTH(D5)=11,"FE","")</f>
        <v/>
      </c>
      <c r="V3" s="10" t="str">
        <f>IF(MONTH(D5)=4,"FE","")</f>
        <v/>
      </c>
      <c r="W3" s="10"/>
      <c r="X3" s="10"/>
      <c r="Y3" s="10"/>
      <c r="Z3" s="10" t="str">
        <f>IF(MONTH(D5)=12,"FE",IF(MONTH(D5)=1,"FE",""))</f>
        <v/>
      </c>
      <c r="AA3" s="10"/>
      <c r="AB3" s="10"/>
      <c r="AC3" s="10"/>
      <c r="AD3" s="10"/>
      <c r="AE3" s="10" t="str">
        <f>IF(MONTH(D5)=5,"FE","")</f>
        <v/>
      </c>
      <c r="AF3" s="11"/>
    </row>
    <row r="4" spans="1:3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3">
      <c r="A5" s="1"/>
      <c r="B5" s="72" t="s">
        <v>14</v>
      </c>
      <c r="C5" s="72"/>
      <c r="D5" s="73">
        <v>46174</v>
      </c>
      <c r="E5" s="73"/>
      <c r="F5" s="73"/>
      <c r="G5" s="73"/>
      <c r="H5" s="81" t="s">
        <v>68</v>
      </c>
      <c r="I5" s="82"/>
      <c r="J5" s="17" t="s">
        <v>67</v>
      </c>
      <c r="K5" s="1"/>
      <c r="L5" s="1"/>
      <c r="M5" s="76" t="s">
        <v>3</v>
      </c>
      <c r="N5" s="77" t="s">
        <v>17</v>
      </c>
      <c r="O5" s="77"/>
      <c r="P5" s="75" t="s">
        <v>83</v>
      </c>
      <c r="Q5" s="75"/>
      <c r="R5" s="75"/>
      <c r="S5" s="75" t="s">
        <v>7</v>
      </c>
      <c r="T5" s="75"/>
      <c r="U5" s="75"/>
      <c r="V5" s="75" t="s">
        <v>80</v>
      </c>
      <c r="W5" s="75"/>
      <c r="X5" s="75"/>
      <c r="Y5" s="1"/>
      <c r="Z5" s="80" t="s">
        <v>18</v>
      </c>
      <c r="AA5" s="80"/>
      <c r="AB5" s="80"/>
      <c r="AC5" s="80"/>
      <c r="AD5" s="80"/>
      <c r="AE5" s="1"/>
      <c r="AF5" s="1"/>
    </row>
    <row r="6" spans="1:32" x14ac:dyDescent="0.3">
      <c r="A6" s="1"/>
      <c r="B6" s="72" t="s">
        <v>19</v>
      </c>
      <c r="C6" s="72"/>
      <c r="D6" s="74">
        <f>EOMONTH(D5,0)</f>
        <v>46203</v>
      </c>
      <c r="E6" s="74"/>
      <c r="F6" s="74"/>
      <c r="G6" s="74"/>
      <c r="H6" s="81" t="s">
        <v>82</v>
      </c>
      <c r="I6" s="82"/>
      <c r="J6" s="18" t="s">
        <v>81</v>
      </c>
      <c r="K6" s="1"/>
      <c r="L6" s="1"/>
      <c r="M6" s="76"/>
      <c r="N6" s="77"/>
      <c r="O6" s="77"/>
      <c r="P6" s="75" t="s">
        <v>94</v>
      </c>
      <c r="Q6" s="75"/>
      <c r="R6" s="75"/>
      <c r="S6" s="75" t="s">
        <v>6</v>
      </c>
      <c r="T6" s="75"/>
      <c r="U6" s="75"/>
      <c r="V6" s="75"/>
      <c r="W6" s="75"/>
      <c r="X6" s="75"/>
      <c r="Y6" s="1"/>
      <c r="Z6" s="19" t="s">
        <v>22</v>
      </c>
      <c r="AA6" s="77" t="s">
        <v>23</v>
      </c>
      <c r="AB6" s="77"/>
      <c r="AC6" s="75" t="s">
        <v>83</v>
      </c>
      <c r="AD6" s="75"/>
      <c r="AE6" s="1"/>
      <c r="AF6" s="1"/>
    </row>
    <row r="7" spans="1:32" x14ac:dyDescent="0.3">
      <c r="A7" s="1"/>
      <c r="B7" s="72" t="s">
        <v>24</v>
      </c>
      <c r="C7" s="72"/>
      <c r="D7" s="75">
        <f>DAY(D6)</f>
        <v>30</v>
      </c>
      <c r="E7" s="75"/>
      <c r="F7" s="75"/>
      <c r="G7" s="75"/>
      <c r="H7" s="78" t="s">
        <v>25</v>
      </c>
      <c r="I7" s="79"/>
      <c r="J7" s="19" t="s">
        <v>26</v>
      </c>
      <c r="K7" s="1"/>
      <c r="L7" s="1"/>
      <c r="M7" s="76"/>
      <c r="N7" s="77"/>
      <c r="O7" s="77"/>
      <c r="P7" s="75" t="s">
        <v>27</v>
      </c>
      <c r="Q7" s="75"/>
      <c r="R7" s="75"/>
      <c r="S7" s="75" t="s">
        <v>73</v>
      </c>
      <c r="T7" s="75"/>
      <c r="U7" s="75"/>
      <c r="V7" s="75"/>
      <c r="W7" s="75"/>
      <c r="X7" s="75"/>
      <c r="Y7" s="1"/>
      <c r="Z7" s="19" t="s">
        <v>28</v>
      </c>
      <c r="AA7" s="77" t="s">
        <v>29</v>
      </c>
      <c r="AB7" s="77"/>
      <c r="AC7" s="75" t="s">
        <v>30</v>
      </c>
      <c r="AD7" s="75"/>
      <c r="AE7" s="1"/>
      <c r="AF7" s="1"/>
    </row>
    <row r="8" spans="1:32" x14ac:dyDescent="0.3">
      <c r="A8" s="1"/>
      <c r="B8" s="1"/>
      <c r="C8" s="1"/>
      <c r="D8" s="1"/>
      <c r="E8" s="1"/>
      <c r="F8" s="1"/>
      <c r="G8" s="1"/>
      <c r="H8" s="78" t="s">
        <v>15</v>
      </c>
      <c r="I8" s="79"/>
      <c r="J8" s="19" t="s">
        <v>16</v>
      </c>
      <c r="K8" s="1"/>
      <c r="L8" s="1"/>
      <c r="M8" s="19" t="s">
        <v>8</v>
      </c>
      <c r="N8" s="77" t="s">
        <v>29</v>
      </c>
      <c r="O8" s="77"/>
      <c r="P8" s="75" t="s">
        <v>30</v>
      </c>
      <c r="Q8" s="75"/>
      <c r="R8" s="75"/>
      <c r="S8" s="75" t="s">
        <v>9</v>
      </c>
      <c r="T8" s="75"/>
      <c r="U8" s="75"/>
      <c r="V8" s="75" t="s">
        <v>74</v>
      </c>
      <c r="W8" s="75"/>
      <c r="X8" s="75"/>
      <c r="Y8" s="1"/>
      <c r="Z8" s="19" t="s">
        <v>31</v>
      </c>
      <c r="AA8" s="77" t="s">
        <v>32</v>
      </c>
      <c r="AB8" s="77"/>
      <c r="AC8" s="75" t="s">
        <v>84</v>
      </c>
      <c r="AD8" s="75"/>
      <c r="AE8" s="1"/>
      <c r="AF8" s="1"/>
    </row>
    <row r="9" spans="1:32" x14ac:dyDescent="0.3">
      <c r="A9" s="1"/>
      <c r="B9" s="1"/>
      <c r="C9" s="1"/>
      <c r="D9" s="1"/>
      <c r="E9" s="1"/>
      <c r="F9" s="1"/>
      <c r="G9" s="1"/>
      <c r="H9" s="78" t="s">
        <v>20</v>
      </c>
      <c r="I9" s="79"/>
      <c r="J9" s="19" t="s">
        <v>21</v>
      </c>
      <c r="K9" s="1"/>
      <c r="L9" s="1"/>
      <c r="M9" s="19" t="s">
        <v>11</v>
      </c>
      <c r="N9" s="77" t="s">
        <v>33</v>
      </c>
      <c r="O9" s="77"/>
      <c r="P9" s="75" t="s">
        <v>84</v>
      </c>
      <c r="Q9" s="75"/>
      <c r="R9" s="75"/>
      <c r="S9" s="75" t="s">
        <v>10</v>
      </c>
      <c r="T9" s="75"/>
      <c r="U9" s="75"/>
      <c r="V9" s="75" t="s">
        <v>12</v>
      </c>
      <c r="W9" s="75"/>
      <c r="X9" s="75"/>
      <c r="Y9" s="1"/>
      <c r="Z9" s="1"/>
      <c r="AA9" s="1"/>
      <c r="AB9" s="1"/>
      <c r="AC9" s="1"/>
      <c r="AD9" s="1"/>
      <c r="AE9" s="1"/>
      <c r="AF9" s="1"/>
    </row>
    <row r="10" spans="1:32" x14ac:dyDescent="0.3">
      <c r="A10" s="1"/>
      <c r="B10" s="1"/>
      <c r="C10" s="1"/>
      <c r="D10" s="1"/>
      <c r="E10" s="1"/>
      <c r="F10" s="1"/>
      <c r="G10" s="1"/>
      <c r="H10" s="81" t="s">
        <v>70</v>
      </c>
      <c r="I10" s="82"/>
      <c r="J10" s="19" t="s">
        <v>69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22.8" x14ac:dyDescent="0.3">
      <c r="A14" s="69" t="s">
        <v>0</v>
      </c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1"/>
    </row>
    <row r="15" spans="1:32" x14ac:dyDescent="0.3">
      <c r="A15" s="114" t="s">
        <v>1</v>
      </c>
      <c r="B15" s="20" t="str">
        <f>UPPER(TEXT(B16,"[$]ddd"))</f>
        <v>SEG</v>
      </c>
      <c r="C15" s="20" t="str">
        <f t="shared" ref="C15:AF15" si="0">UPPER(TEXT(C16,"[$]ddd"))</f>
        <v>TER</v>
      </c>
      <c r="D15" s="20" t="str">
        <f t="shared" si="0"/>
        <v>QUA</v>
      </c>
      <c r="E15" s="20" t="str">
        <f t="shared" si="0"/>
        <v>QUI</v>
      </c>
      <c r="F15" s="20" t="str">
        <f t="shared" si="0"/>
        <v>SEX</v>
      </c>
      <c r="G15" s="20" t="str">
        <f t="shared" si="0"/>
        <v>SÁB</v>
      </c>
      <c r="H15" s="20" t="str">
        <f t="shared" si="0"/>
        <v>DOM</v>
      </c>
      <c r="I15" s="20" t="str">
        <f t="shared" si="0"/>
        <v>SEG</v>
      </c>
      <c r="J15" s="20" t="str">
        <f t="shared" si="0"/>
        <v>TER</v>
      </c>
      <c r="K15" s="20" t="str">
        <f t="shared" si="0"/>
        <v>QUA</v>
      </c>
      <c r="L15" s="20" t="str">
        <f t="shared" si="0"/>
        <v>QUI</v>
      </c>
      <c r="M15" s="20" t="str">
        <f t="shared" si="0"/>
        <v>SEX</v>
      </c>
      <c r="N15" s="20" t="str">
        <f t="shared" si="0"/>
        <v>SÁB</v>
      </c>
      <c r="O15" s="20" t="str">
        <f t="shared" si="0"/>
        <v>DOM</v>
      </c>
      <c r="P15" s="20" t="str">
        <f t="shared" si="0"/>
        <v>SEG</v>
      </c>
      <c r="Q15" s="20" t="str">
        <f t="shared" si="0"/>
        <v>TER</v>
      </c>
      <c r="R15" s="20" t="str">
        <f t="shared" si="0"/>
        <v>QUA</v>
      </c>
      <c r="S15" s="20" t="str">
        <f t="shared" si="0"/>
        <v>QUI</v>
      </c>
      <c r="T15" s="20" t="str">
        <f t="shared" si="0"/>
        <v>SEX</v>
      </c>
      <c r="U15" s="20" t="str">
        <f t="shared" si="0"/>
        <v>SÁB</v>
      </c>
      <c r="V15" s="20" t="str">
        <f t="shared" si="0"/>
        <v>DOM</v>
      </c>
      <c r="W15" s="20" t="str">
        <f t="shared" si="0"/>
        <v>SEG</v>
      </c>
      <c r="X15" s="20" t="str">
        <f t="shared" si="0"/>
        <v>TER</v>
      </c>
      <c r="Y15" s="20" t="str">
        <f t="shared" si="0"/>
        <v>QUA</v>
      </c>
      <c r="Z15" s="20" t="str">
        <f t="shared" si="0"/>
        <v>QUI</v>
      </c>
      <c r="AA15" s="20" t="str">
        <f t="shared" si="0"/>
        <v>SEX</v>
      </c>
      <c r="AB15" s="20" t="str">
        <f t="shared" si="0"/>
        <v>SÁB</v>
      </c>
      <c r="AC15" s="20" t="str">
        <f t="shared" si="0"/>
        <v>DOM</v>
      </c>
      <c r="AD15" s="20" t="str">
        <f t="shared" si="0"/>
        <v>SEG</v>
      </c>
      <c r="AE15" s="20" t="str">
        <f t="shared" si="0"/>
        <v>TER</v>
      </c>
      <c r="AF15" s="21" t="str">
        <f t="shared" si="0"/>
        <v>QUA</v>
      </c>
    </row>
    <row r="16" spans="1:32" x14ac:dyDescent="0.3">
      <c r="A16" s="115"/>
      <c r="B16" s="22">
        <f>D5</f>
        <v>46174</v>
      </c>
      <c r="C16" s="23">
        <f>B16+1</f>
        <v>46175</v>
      </c>
      <c r="D16" s="23">
        <f t="shared" ref="D16:AF16" si="1">C16+1</f>
        <v>46176</v>
      </c>
      <c r="E16" s="23">
        <f t="shared" si="1"/>
        <v>46177</v>
      </c>
      <c r="F16" s="23">
        <f t="shared" si="1"/>
        <v>46178</v>
      </c>
      <c r="G16" s="23">
        <f t="shared" si="1"/>
        <v>46179</v>
      </c>
      <c r="H16" s="23">
        <f t="shared" si="1"/>
        <v>46180</v>
      </c>
      <c r="I16" s="23">
        <f t="shared" si="1"/>
        <v>46181</v>
      </c>
      <c r="J16" s="23">
        <f t="shared" si="1"/>
        <v>46182</v>
      </c>
      <c r="K16" s="23">
        <f t="shared" si="1"/>
        <v>46183</v>
      </c>
      <c r="L16" s="23">
        <f t="shared" si="1"/>
        <v>46184</v>
      </c>
      <c r="M16" s="23">
        <f t="shared" si="1"/>
        <v>46185</v>
      </c>
      <c r="N16" s="23">
        <f t="shared" si="1"/>
        <v>46186</v>
      </c>
      <c r="O16" s="23">
        <f t="shared" si="1"/>
        <v>46187</v>
      </c>
      <c r="P16" s="23">
        <f t="shared" si="1"/>
        <v>46188</v>
      </c>
      <c r="Q16" s="23">
        <f t="shared" si="1"/>
        <v>46189</v>
      </c>
      <c r="R16" s="23">
        <f t="shared" si="1"/>
        <v>46190</v>
      </c>
      <c r="S16" s="23">
        <f t="shared" si="1"/>
        <v>46191</v>
      </c>
      <c r="T16" s="23">
        <f t="shared" si="1"/>
        <v>46192</v>
      </c>
      <c r="U16" s="23">
        <f t="shared" si="1"/>
        <v>46193</v>
      </c>
      <c r="V16" s="23">
        <f t="shared" si="1"/>
        <v>46194</v>
      </c>
      <c r="W16" s="23">
        <f t="shared" si="1"/>
        <v>46195</v>
      </c>
      <c r="X16" s="23">
        <f t="shared" si="1"/>
        <v>46196</v>
      </c>
      <c r="Y16" s="23">
        <f t="shared" si="1"/>
        <v>46197</v>
      </c>
      <c r="Z16" s="23">
        <f t="shared" si="1"/>
        <v>46198</v>
      </c>
      <c r="AA16" s="23">
        <f t="shared" si="1"/>
        <v>46199</v>
      </c>
      <c r="AB16" s="23">
        <f t="shared" si="1"/>
        <v>46200</v>
      </c>
      <c r="AC16" s="23">
        <f t="shared" si="1"/>
        <v>46201</v>
      </c>
      <c r="AD16" s="23">
        <f t="shared" si="1"/>
        <v>46202</v>
      </c>
      <c r="AE16" s="23">
        <f t="shared" si="1"/>
        <v>46203</v>
      </c>
      <c r="AF16" s="24">
        <f t="shared" si="1"/>
        <v>46204</v>
      </c>
    </row>
    <row r="17" spans="1:32" x14ac:dyDescent="0.3">
      <c r="A17" s="25" t="s">
        <v>7</v>
      </c>
      <c r="B17" s="19" t="s">
        <v>3</v>
      </c>
      <c r="C17" s="19" t="s">
        <v>3</v>
      </c>
      <c r="D17" s="19" t="s">
        <v>3</v>
      </c>
      <c r="E17" s="19" t="s">
        <v>3</v>
      </c>
      <c r="F17" s="19" t="s">
        <v>3</v>
      </c>
      <c r="G17" s="19"/>
      <c r="H17" s="19"/>
      <c r="I17" s="19" t="s">
        <v>3</v>
      </c>
      <c r="J17" s="19" t="s">
        <v>3</v>
      </c>
      <c r="K17" s="19" t="s">
        <v>3</v>
      </c>
      <c r="L17" s="19" t="s">
        <v>3</v>
      </c>
      <c r="M17" s="19" t="s">
        <v>3</v>
      </c>
      <c r="N17" s="19"/>
      <c r="O17" s="19"/>
      <c r="P17" s="19" t="s">
        <v>3</v>
      </c>
      <c r="Q17" s="19" t="s">
        <v>3</v>
      </c>
      <c r="R17" s="19" t="s">
        <v>3</v>
      </c>
      <c r="S17" s="19" t="s">
        <v>3</v>
      </c>
      <c r="T17" s="19" t="s">
        <v>3</v>
      </c>
      <c r="U17" s="19"/>
      <c r="V17" s="19"/>
      <c r="W17" s="19" t="s">
        <v>3</v>
      </c>
      <c r="X17" s="19" t="s">
        <v>3</v>
      </c>
      <c r="Y17" s="19" t="s">
        <v>3</v>
      </c>
      <c r="Z17" s="19" t="s">
        <v>3</v>
      </c>
      <c r="AA17" s="19" t="s">
        <v>3</v>
      </c>
      <c r="AB17" s="19"/>
      <c r="AC17" s="19"/>
      <c r="AD17" s="19" t="s">
        <v>3</v>
      </c>
      <c r="AE17" s="19" t="s">
        <v>3</v>
      </c>
      <c r="AF17" s="26" t="s">
        <v>3</v>
      </c>
    </row>
    <row r="18" spans="1:32" x14ac:dyDescent="0.3">
      <c r="A18" s="25" t="s">
        <v>80</v>
      </c>
      <c r="B18" s="19" t="s">
        <v>3</v>
      </c>
      <c r="C18" s="19" t="s">
        <v>3</v>
      </c>
      <c r="D18" s="19" t="s">
        <v>3</v>
      </c>
      <c r="E18" s="19" t="s">
        <v>3</v>
      </c>
      <c r="F18" s="19" t="s">
        <v>3</v>
      </c>
      <c r="G18" s="19"/>
      <c r="H18" s="19"/>
      <c r="I18" s="19" t="s">
        <v>3</v>
      </c>
      <c r="J18" s="19" t="s">
        <v>3</v>
      </c>
      <c r="K18" s="19" t="s">
        <v>3</v>
      </c>
      <c r="L18" s="19" t="s">
        <v>3</v>
      </c>
      <c r="M18" s="19" t="s">
        <v>3</v>
      </c>
      <c r="N18" s="19"/>
      <c r="O18" s="19"/>
      <c r="P18" s="19" t="s">
        <v>3</v>
      </c>
      <c r="Q18" s="19" t="s">
        <v>3</v>
      </c>
      <c r="R18" s="19" t="s">
        <v>3</v>
      </c>
      <c r="S18" s="19" t="s">
        <v>3</v>
      </c>
      <c r="T18" s="19" t="s">
        <v>3</v>
      </c>
      <c r="U18" s="19"/>
      <c r="V18" s="19"/>
      <c r="W18" s="19" t="s">
        <v>3</v>
      </c>
      <c r="X18" s="19" t="s">
        <v>3</v>
      </c>
      <c r="Y18" s="19" t="s">
        <v>3</v>
      </c>
      <c r="Z18" s="19" t="s">
        <v>3</v>
      </c>
      <c r="AA18" s="19" t="s">
        <v>3</v>
      </c>
      <c r="AB18" s="19"/>
      <c r="AC18" s="19"/>
      <c r="AD18" s="19" t="s">
        <v>3</v>
      </c>
      <c r="AE18" s="19" t="s">
        <v>3</v>
      </c>
      <c r="AF18" s="26" t="s">
        <v>3</v>
      </c>
    </row>
    <row r="19" spans="1:32" x14ac:dyDescent="0.3">
      <c r="A19" s="25" t="s">
        <v>6</v>
      </c>
      <c r="B19" s="19" t="s">
        <v>3</v>
      </c>
      <c r="C19" s="19" t="s">
        <v>3</v>
      </c>
      <c r="D19" s="19" t="s">
        <v>3</v>
      </c>
      <c r="E19" s="19" t="s">
        <v>3</v>
      </c>
      <c r="F19" s="19" t="s">
        <v>3</v>
      </c>
      <c r="G19" s="19"/>
      <c r="H19" s="19"/>
      <c r="I19" s="19" t="s">
        <v>3</v>
      </c>
      <c r="J19" s="19" t="s">
        <v>3</v>
      </c>
      <c r="K19" s="19" t="s">
        <v>3</v>
      </c>
      <c r="L19" s="19" t="s">
        <v>3</v>
      </c>
      <c r="M19" s="19" t="s">
        <v>3</v>
      </c>
      <c r="N19" s="19"/>
      <c r="O19" s="19"/>
      <c r="P19" s="19" t="s">
        <v>3</v>
      </c>
      <c r="Q19" s="19" t="s">
        <v>3</v>
      </c>
      <c r="R19" s="19" t="s">
        <v>3</v>
      </c>
      <c r="S19" s="19" t="s">
        <v>3</v>
      </c>
      <c r="T19" s="19" t="s">
        <v>3</v>
      </c>
      <c r="U19" s="19"/>
      <c r="V19" s="19"/>
      <c r="W19" s="19" t="s">
        <v>3</v>
      </c>
      <c r="X19" s="19" t="s">
        <v>3</v>
      </c>
      <c r="Y19" s="19" t="s">
        <v>3</v>
      </c>
      <c r="Z19" s="19" t="s">
        <v>3</v>
      </c>
      <c r="AA19" s="19" t="s">
        <v>3</v>
      </c>
      <c r="AB19" s="19"/>
      <c r="AC19" s="19"/>
      <c r="AD19" s="19" t="s">
        <v>3</v>
      </c>
      <c r="AE19" s="19" t="s">
        <v>3</v>
      </c>
      <c r="AF19" s="26" t="s">
        <v>3</v>
      </c>
    </row>
    <row r="20" spans="1:32" x14ac:dyDescent="0.3">
      <c r="A20" s="25" t="s">
        <v>73</v>
      </c>
      <c r="B20" s="19" t="s">
        <v>3</v>
      </c>
      <c r="C20" s="19" t="s">
        <v>3</v>
      </c>
      <c r="D20" s="19" t="s">
        <v>3</v>
      </c>
      <c r="E20" s="19" t="s">
        <v>3</v>
      </c>
      <c r="F20" s="19" t="s">
        <v>3</v>
      </c>
      <c r="G20" s="19"/>
      <c r="H20" s="19"/>
      <c r="I20" s="19" t="s">
        <v>3</v>
      </c>
      <c r="J20" s="19" t="s">
        <v>3</v>
      </c>
      <c r="K20" s="19" t="s">
        <v>3</v>
      </c>
      <c r="L20" s="19" t="s">
        <v>3</v>
      </c>
      <c r="M20" s="19" t="s">
        <v>3</v>
      </c>
      <c r="N20" s="19"/>
      <c r="O20" s="19"/>
      <c r="P20" s="19" t="s">
        <v>3</v>
      </c>
      <c r="Q20" s="19" t="s">
        <v>3</v>
      </c>
      <c r="R20" s="19" t="s">
        <v>3</v>
      </c>
      <c r="S20" s="19" t="s">
        <v>3</v>
      </c>
      <c r="T20" s="19" t="s">
        <v>3</v>
      </c>
      <c r="U20" s="19"/>
      <c r="V20" s="19"/>
      <c r="W20" s="19" t="s">
        <v>3</v>
      </c>
      <c r="X20" s="19" t="s">
        <v>3</v>
      </c>
      <c r="Y20" s="19" t="s">
        <v>3</v>
      </c>
      <c r="Z20" s="19" t="s">
        <v>3</v>
      </c>
      <c r="AA20" s="19" t="s">
        <v>3</v>
      </c>
      <c r="AB20" s="19"/>
      <c r="AC20" s="19"/>
      <c r="AD20" s="19" t="s">
        <v>3</v>
      </c>
      <c r="AE20" s="19" t="s">
        <v>3</v>
      </c>
      <c r="AF20" s="26" t="s">
        <v>3</v>
      </c>
    </row>
    <row r="21" spans="1:32" x14ac:dyDescent="0.3">
      <c r="A21" s="25" t="s">
        <v>9</v>
      </c>
      <c r="B21" s="19" t="s">
        <v>8</v>
      </c>
      <c r="C21" s="19" t="s">
        <v>8</v>
      </c>
      <c r="D21" s="19" t="s">
        <v>8</v>
      </c>
      <c r="E21" s="19" t="s">
        <v>8</v>
      </c>
      <c r="F21" s="19" t="s">
        <v>8</v>
      </c>
      <c r="G21" s="19"/>
      <c r="H21" s="19"/>
      <c r="I21" s="19" t="s">
        <v>8</v>
      </c>
      <c r="J21" s="19" t="s">
        <v>8</v>
      </c>
      <c r="K21" s="19" t="s">
        <v>8</v>
      </c>
      <c r="L21" s="19" t="s">
        <v>8</v>
      </c>
      <c r="M21" s="19" t="s">
        <v>8</v>
      </c>
      <c r="N21" s="19"/>
      <c r="O21" s="19"/>
      <c r="P21" s="19" t="s">
        <v>8</v>
      </c>
      <c r="Q21" s="19" t="s">
        <v>8</v>
      </c>
      <c r="R21" s="19" t="s">
        <v>8</v>
      </c>
      <c r="S21" s="19" t="s">
        <v>8</v>
      </c>
      <c r="T21" s="19" t="s">
        <v>8</v>
      </c>
      <c r="U21" s="19"/>
      <c r="V21" s="19"/>
      <c r="W21" s="19" t="s">
        <v>8</v>
      </c>
      <c r="X21" s="19" t="s">
        <v>8</v>
      </c>
      <c r="Y21" s="19" t="s">
        <v>8</v>
      </c>
      <c r="Z21" s="19" t="s">
        <v>8</v>
      </c>
      <c r="AA21" s="19" t="s">
        <v>8</v>
      </c>
      <c r="AB21" s="19"/>
      <c r="AC21" s="19"/>
      <c r="AD21" s="19" t="s">
        <v>8</v>
      </c>
      <c r="AE21" s="19" t="s">
        <v>8</v>
      </c>
      <c r="AF21" s="26" t="s">
        <v>8</v>
      </c>
    </row>
    <row r="22" spans="1:32" x14ac:dyDescent="0.3">
      <c r="A22" s="25" t="s">
        <v>74</v>
      </c>
      <c r="B22" s="19" t="s">
        <v>8</v>
      </c>
      <c r="C22" s="19" t="s">
        <v>8</v>
      </c>
      <c r="D22" s="19" t="s">
        <v>8</v>
      </c>
      <c r="E22" s="19" t="s">
        <v>8</v>
      </c>
      <c r="F22" s="19" t="s">
        <v>8</v>
      </c>
      <c r="G22" s="19"/>
      <c r="H22" s="19"/>
      <c r="I22" s="19" t="s">
        <v>8</v>
      </c>
      <c r="J22" s="19" t="s">
        <v>8</v>
      </c>
      <c r="K22" s="19" t="s">
        <v>8</v>
      </c>
      <c r="L22" s="19" t="s">
        <v>8</v>
      </c>
      <c r="M22" s="19" t="s">
        <v>8</v>
      </c>
      <c r="N22" s="19"/>
      <c r="O22" s="19"/>
      <c r="P22" s="19" t="s">
        <v>8</v>
      </c>
      <c r="Q22" s="19" t="s">
        <v>8</v>
      </c>
      <c r="R22" s="19" t="s">
        <v>8</v>
      </c>
      <c r="S22" s="19" t="s">
        <v>8</v>
      </c>
      <c r="T22" s="19" t="s">
        <v>8</v>
      </c>
      <c r="U22" s="19"/>
      <c r="V22" s="19"/>
      <c r="W22" s="19" t="s">
        <v>8</v>
      </c>
      <c r="X22" s="19" t="s">
        <v>8</v>
      </c>
      <c r="Y22" s="19" t="s">
        <v>8</v>
      </c>
      <c r="Z22" s="19" t="s">
        <v>8</v>
      </c>
      <c r="AA22" s="19" t="s">
        <v>8</v>
      </c>
      <c r="AB22" s="19"/>
      <c r="AC22" s="19"/>
      <c r="AD22" s="19" t="s">
        <v>8</v>
      </c>
      <c r="AE22" s="19" t="s">
        <v>8</v>
      </c>
      <c r="AF22" s="26" t="s">
        <v>8</v>
      </c>
    </row>
    <row r="23" spans="1:32" x14ac:dyDescent="0.3">
      <c r="A23" s="25" t="s">
        <v>10</v>
      </c>
      <c r="B23" s="19" t="s">
        <v>11</v>
      </c>
      <c r="C23" s="19" t="s">
        <v>11</v>
      </c>
      <c r="D23" s="19" t="s">
        <v>11</v>
      </c>
      <c r="E23" s="19" t="s">
        <v>11</v>
      </c>
      <c r="F23" s="19" t="s">
        <v>11</v>
      </c>
      <c r="G23" s="19"/>
      <c r="H23" s="19"/>
      <c r="I23" s="19" t="s">
        <v>11</v>
      </c>
      <c r="J23" s="19" t="s">
        <v>11</v>
      </c>
      <c r="K23" s="19" t="s">
        <v>11</v>
      </c>
      <c r="L23" s="19" t="s">
        <v>11</v>
      </c>
      <c r="M23" s="19" t="s">
        <v>11</v>
      </c>
      <c r="N23" s="19"/>
      <c r="O23" s="19"/>
      <c r="P23" s="19" t="s">
        <v>11</v>
      </c>
      <c r="Q23" s="19" t="s">
        <v>11</v>
      </c>
      <c r="R23" s="19" t="s">
        <v>11</v>
      </c>
      <c r="S23" s="19" t="s">
        <v>11</v>
      </c>
      <c r="T23" s="19" t="s">
        <v>11</v>
      </c>
      <c r="U23" s="19"/>
      <c r="V23" s="19"/>
      <c r="W23" s="19" t="s">
        <v>11</v>
      </c>
      <c r="X23" s="19" t="s">
        <v>11</v>
      </c>
      <c r="Y23" s="19" t="s">
        <v>11</v>
      </c>
      <c r="Z23" s="19" t="s">
        <v>11</v>
      </c>
      <c r="AA23" s="19" t="s">
        <v>11</v>
      </c>
      <c r="AB23" s="19"/>
      <c r="AC23" s="19"/>
      <c r="AD23" s="19" t="s">
        <v>11</v>
      </c>
      <c r="AE23" s="19" t="s">
        <v>11</v>
      </c>
      <c r="AF23" s="26" t="s">
        <v>11</v>
      </c>
    </row>
    <row r="24" spans="1:32" ht="15" thickBot="1" x14ac:dyDescent="0.35">
      <c r="A24" s="27" t="s">
        <v>12</v>
      </c>
      <c r="B24" s="28" t="s">
        <v>11</v>
      </c>
      <c r="C24" s="28" t="s">
        <v>11</v>
      </c>
      <c r="D24" s="28" t="s">
        <v>11</v>
      </c>
      <c r="E24" s="28" t="s">
        <v>11</v>
      </c>
      <c r="F24" s="28" t="s">
        <v>11</v>
      </c>
      <c r="G24" s="28"/>
      <c r="H24" s="28"/>
      <c r="I24" s="28" t="s">
        <v>11</v>
      </c>
      <c r="J24" s="28" t="s">
        <v>11</v>
      </c>
      <c r="K24" s="28" t="s">
        <v>11</v>
      </c>
      <c r="L24" s="28" t="s">
        <v>11</v>
      </c>
      <c r="M24" s="28" t="s">
        <v>11</v>
      </c>
      <c r="N24" s="28"/>
      <c r="O24" s="28"/>
      <c r="P24" s="28" t="s">
        <v>11</v>
      </c>
      <c r="Q24" s="28" t="s">
        <v>11</v>
      </c>
      <c r="R24" s="28" t="s">
        <v>11</v>
      </c>
      <c r="S24" s="28" t="s">
        <v>11</v>
      </c>
      <c r="T24" s="28" t="s">
        <v>11</v>
      </c>
      <c r="U24" s="28"/>
      <c r="V24" s="28"/>
      <c r="W24" s="28" t="s">
        <v>11</v>
      </c>
      <c r="X24" s="28" t="s">
        <v>11</v>
      </c>
      <c r="Y24" s="28" t="s">
        <v>11</v>
      </c>
      <c r="Z24" s="28" t="s">
        <v>11</v>
      </c>
      <c r="AA24" s="28" t="s">
        <v>11</v>
      </c>
      <c r="AB24" s="28"/>
      <c r="AC24" s="28"/>
      <c r="AD24" s="28" t="s">
        <v>11</v>
      </c>
      <c r="AE24" s="28" t="s">
        <v>11</v>
      </c>
      <c r="AF24" s="29" t="s">
        <v>11</v>
      </c>
    </row>
    <row r="25" spans="1:3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</sheetData>
  <mergeCells count="40">
    <mergeCell ref="S5:U5"/>
    <mergeCell ref="V5:X5"/>
    <mergeCell ref="Z5:AD5"/>
    <mergeCell ref="B6:C6"/>
    <mergeCell ref="D6:G6"/>
    <mergeCell ref="H6:I6"/>
    <mergeCell ref="P6:R6"/>
    <mergeCell ref="S6:U6"/>
    <mergeCell ref="V6:X6"/>
    <mergeCell ref="AA6:AB6"/>
    <mergeCell ref="B5:C5"/>
    <mergeCell ref="D5:G5"/>
    <mergeCell ref="H5:I5"/>
    <mergeCell ref="M5:M7"/>
    <mergeCell ref="N5:O7"/>
    <mergeCell ref="P5:R5"/>
    <mergeCell ref="AC6:AD6"/>
    <mergeCell ref="B7:C7"/>
    <mergeCell ref="D7:G7"/>
    <mergeCell ref="H7:I7"/>
    <mergeCell ref="P7:R7"/>
    <mergeCell ref="S7:U7"/>
    <mergeCell ref="V7:X7"/>
    <mergeCell ref="AA7:AB7"/>
    <mergeCell ref="AC7:AD7"/>
    <mergeCell ref="A15:A16"/>
    <mergeCell ref="H10:I10"/>
    <mergeCell ref="A14:AF14"/>
    <mergeCell ref="AC8:AD8"/>
    <mergeCell ref="H9:I9"/>
    <mergeCell ref="N9:O9"/>
    <mergeCell ref="P9:R9"/>
    <mergeCell ref="S9:U9"/>
    <mergeCell ref="V9:X9"/>
    <mergeCell ref="H8:I8"/>
    <mergeCell ref="N8:O8"/>
    <mergeCell ref="P8:R8"/>
    <mergeCell ref="S8:U8"/>
    <mergeCell ref="V8:X8"/>
    <mergeCell ref="AA8:AB8"/>
  </mergeCells>
  <conditionalFormatting sqref="B3:AF3">
    <cfRule type="containsText" dxfId="601" priority="49" operator="containsText" text="FE">
      <formula>NOT(ISERROR(SEARCH("FE",B3)))</formula>
    </cfRule>
  </conditionalFormatting>
  <conditionalFormatting sqref="B17:AF24">
    <cfRule type="containsText" dxfId="600" priority="12" operator="containsText" text="HB">
      <formula>NOT(ISERROR(SEARCH("HB",B17)))</formula>
    </cfRule>
    <cfRule type="containsText" dxfId="599" priority="33" operator="containsText" text="OT">
      <formula>NOT(ISERROR(SEARCH("OT",B17)))</formula>
    </cfRule>
    <cfRule type="containsText" dxfId="598" priority="34" operator="containsText" text="SD">
      <formula>NOT(ISERROR(SEARCH("SD",B17)))</formula>
    </cfRule>
    <cfRule type="containsText" dxfId="597" priority="35" operator="containsText" text="E3">
      <formula>NOT(ISERROR(SEARCH("E3",B17)))</formula>
    </cfRule>
    <cfRule type="containsText" dxfId="596" priority="36" operator="containsText" text="E2">
      <formula>NOT(ISERROR(SEARCH("E2",B17)))</formula>
    </cfRule>
    <cfRule type="containsText" dxfId="595" priority="37" operator="containsText" text="E1">
      <formula>NOT(ISERROR(SEARCH("E1",B17)))</formula>
    </cfRule>
    <cfRule type="containsText" dxfId="594" priority="44" operator="containsText" text="DO">
      <formula>NOT(ISERROR(SEARCH("DO",B17)))</formula>
    </cfRule>
    <cfRule type="containsText" dxfId="593" priority="45" operator="containsText" text="VA">
      <formula>NOT(ISERROR(SEARCH("VA",B17)))</formula>
    </cfRule>
    <cfRule type="containsText" dxfId="592" priority="46" operator="containsText" text="T1">
      <formula>NOT(ISERROR(SEARCH("T1",B17)))</formula>
    </cfRule>
    <cfRule type="containsText" dxfId="591" priority="47" operator="containsText" text="T2">
      <formula>NOT(ISERROR(SEARCH("T2",B17)))</formula>
    </cfRule>
    <cfRule type="containsText" dxfId="590" priority="48" operator="containsText" text="T3">
      <formula>NOT(ISERROR(SEARCH("T3",B17)))</formula>
    </cfRule>
  </conditionalFormatting>
  <conditionalFormatting sqref="B15:AF15">
    <cfRule type="containsText" dxfId="589" priority="42" operator="containsText" text="DOM">
      <formula>NOT(ISERROR(SEARCH("DOM",B15)))</formula>
    </cfRule>
    <cfRule type="containsText" dxfId="588" priority="43" operator="containsText" text="SÁB">
      <formula>NOT(ISERROR(SEARCH("SÁB",B15)))</formula>
    </cfRule>
  </conditionalFormatting>
  <conditionalFormatting sqref="J7">
    <cfRule type="containsText" dxfId="587" priority="41" operator="containsText" text="FE">
      <formula>NOT(ISERROR(SEARCH("FE",J7)))</formula>
    </cfRule>
  </conditionalFormatting>
  <conditionalFormatting sqref="M5">
    <cfRule type="containsText" dxfId="586" priority="38" operator="containsText" text="T3">
      <formula>NOT(ISERROR(SEARCH("T3",M5)))</formula>
    </cfRule>
    <cfRule type="containsText" dxfId="585" priority="39" operator="containsText" text="T2">
      <formula>NOT(ISERROR(SEARCH("T2",M5)))</formula>
    </cfRule>
    <cfRule type="containsText" dxfId="584" priority="40" operator="containsText" text="T1">
      <formula>NOT(ISERROR(SEARCH("T1",M5)))</formula>
    </cfRule>
  </conditionalFormatting>
  <conditionalFormatting sqref="B16">
    <cfRule type="expression" dxfId="583" priority="50">
      <formula>$B$3="FE"</formula>
    </cfRule>
  </conditionalFormatting>
  <conditionalFormatting sqref="C16">
    <cfRule type="expression" dxfId="582" priority="51">
      <formula>$C$3="FE"</formula>
    </cfRule>
    <cfRule type="expression" dxfId="581" priority="52">
      <formula>$C$3="FE"</formula>
    </cfRule>
  </conditionalFormatting>
  <conditionalFormatting sqref="D16">
    <cfRule type="expression" dxfId="580" priority="53">
      <formula>$D$3="FE"</formula>
    </cfRule>
    <cfRule type="expression" dxfId="579" priority="54">
      <formula>$D$3="FE"</formula>
    </cfRule>
  </conditionalFormatting>
  <conditionalFormatting sqref="F16">
    <cfRule type="expression" dxfId="578" priority="55">
      <formula>$F$3="FE"</formula>
    </cfRule>
    <cfRule type="expression" dxfId="577" priority="56">
      <formula>$F$3="FE"</formula>
    </cfRule>
  </conditionalFormatting>
  <conditionalFormatting sqref="G16">
    <cfRule type="expression" dxfId="576" priority="57">
      <formula>$G$3="FE"</formula>
    </cfRule>
    <cfRule type="expression" dxfId="575" priority="58">
      <formula>$G$3="FE"</formula>
    </cfRule>
  </conditionalFormatting>
  <conditionalFormatting sqref="H16">
    <cfRule type="expression" dxfId="574" priority="59">
      <formula>$H$3="FE"</formula>
    </cfRule>
  </conditionalFormatting>
  <conditionalFormatting sqref="I16">
    <cfRule type="expression" dxfId="573" priority="60">
      <formula>$I$3="FE"</formula>
    </cfRule>
    <cfRule type="expression" dxfId="572" priority="61">
      <formula>$I$3="FE"</formula>
    </cfRule>
  </conditionalFormatting>
  <conditionalFormatting sqref="J16">
    <cfRule type="expression" dxfId="571" priority="62">
      <formula>$J$3="FE"</formula>
    </cfRule>
    <cfRule type="expression" dxfId="570" priority="63">
      <formula>$J$3="FE"</formula>
    </cfRule>
  </conditionalFormatting>
  <conditionalFormatting sqref="K16">
    <cfRule type="expression" dxfId="569" priority="64">
      <formula>$K$3="FE"</formula>
    </cfRule>
  </conditionalFormatting>
  <conditionalFormatting sqref="L16">
    <cfRule type="expression" dxfId="568" priority="65">
      <formula>$L$3="FE"</formula>
    </cfRule>
  </conditionalFormatting>
  <conditionalFormatting sqref="M16">
    <cfRule type="expression" dxfId="567" priority="66">
      <formula>$M$3="FE"</formula>
    </cfRule>
  </conditionalFormatting>
  <conditionalFormatting sqref="N16">
    <cfRule type="expression" dxfId="566" priority="67">
      <formula>$N$3="FE"</formula>
    </cfRule>
  </conditionalFormatting>
  <conditionalFormatting sqref="O16">
    <cfRule type="expression" dxfId="565" priority="68">
      <formula>$O$3="FE"</formula>
    </cfRule>
  </conditionalFormatting>
  <conditionalFormatting sqref="P16">
    <cfRule type="expression" dxfId="564" priority="69">
      <formula>$P$3="FE"</formula>
    </cfRule>
  </conditionalFormatting>
  <conditionalFormatting sqref="Q16">
    <cfRule type="expression" dxfId="563" priority="70">
      <formula>$Q$3="FE"</formula>
    </cfRule>
  </conditionalFormatting>
  <conditionalFormatting sqref="R16">
    <cfRule type="expression" dxfId="562" priority="71">
      <formula>$R$3="FE"</formula>
    </cfRule>
  </conditionalFormatting>
  <conditionalFormatting sqref="S16">
    <cfRule type="expression" dxfId="561" priority="72">
      <formula>$S$3="FE"</formula>
    </cfRule>
  </conditionalFormatting>
  <conditionalFormatting sqref="T16">
    <cfRule type="expression" dxfId="560" priority="73">
      <formula>$T$3="FE"</formula>
    </cfRule>
  </conditionalFormatting>
  <conditionalFormatting sqref="U16">
    <cfRule type="expression" dxfId="559" priority="74">
      <formula>$U$3="FE"</formula>
    </cfRule>
  </conditionalFormatting>
  <conditionalFormatting sqref="V16">
    <cfRule type="expression" dxfId="558" priority="75">
      <formula>$V$3="FE"</formula>
    </cfRule>
  </conditionalFormatting>
  <conditionalFormatting sqref="W16">
    <cfRule type="expression" dxfId="557" priority="76">
      <formula>$W$3="FE"</formula>
    </cfRule>
  </conditionalFormatting>
  <conditionalFormatting sqref="X16">
    <cfRule type="expression" dxfId="556" priority="77">
      <formula>$X$3="FE"</formula>
    </cfRule>
  </conditionalFormatting>
  <conditionalFormatting sqref="Y16">
    <cfRule type="expression" dxfId="555" priority="78">
      <formula>$Y$3="FE"</formula>
    </cfRule>
  </conditionalFormatting>
  <conditionalFormatting sqref="Z16">
    <cfRule type="expression" dxfId="554" priority="79">
      <formula>$Z$3="FE"</formula>
    </cfRule>
  </conditionalFormatting>
  <conditionalFormatting sqref="AA16">
    <cfRule type="expression" dxfId="553" priority="80">
      <formula>$AA$3="FE"</formula>
    </cfRule>
  </conditionalFormatting>
  <conditionalFormatting sqref="AB16">
    <cfRule type="expression" dxfId="552" priority="81">
      <formula>$AB$3="FE"</formula>
    </cfRule>
  </conditionalFormatting>
  <conditionalFormatting sqref="AC16">
    <cfRule type="expression" dxfId="551" priority="82">
      <formula>$AC$3="FE"</formula>
    </cfRule>
  </conditionalFormatting>
  <conditionalFormatting sqref="AD16">
    <cfRule type="expression" dxfId="550" priority="83">
      <formula>$AD$3="FE"</formula>
    </cfRule>
  </conditionalFormatting>
  <conditionalFormatting sqref="AE16">
    <cfRule type="expression" dxfId="549" priority="84">
      <formula>$AE$3="FE"</formula>
    </cfRule>
  </conditionalFormatting>
  <conditionalFormatting sqref="AF16">
    <cfRule type="expression" dxfId="548" priority="85">
      <formula>$AF$3="FE"</formula>
    </cfRule>
  </conditionalFormatting>
  <conditionalFormatting sqref="E16">
    <cfRule type="expression" dxfId="547" priority="86">
      <formula>$E$3="FE"</formula>
    </cfRule>
  </conditionalFormatting>
  <conditionalFormatting sqref="Z6:Z8 J5 J8:J10">
    <cfRule type="containsText" dxfId="546" priority="23" operator="containsText" text="OT">
      <formula>NOT(ISERROR(SEARCH("OT",J5)))</formula>
    </cfRule>
    <cfRule type="containsText" dxfId="545" priority="24" operator="containsText" text="SD">
      <formula>NOT(ISERROR(SEARCH("SD",J5)))</formula>
    </cfRule>
    <cfRule type="containsText" dxfId="544" priority="25" operator="containsText" text="E3">
      <formula>NOT(ISERROR(SEARCH("E3",J5)))</formula>
    </cfRule>
    <cfRule type="containsText" dxfId="543" priority="26" operator="containsText" text="E2">
      <formula>NOT(ISERROR(SEARCH("E2",J5)))</formula>
    </cfRule>
    <cfRule type="containsText" dxfId="542" priority="27" operator="containsText" text="E1">
      <formula>NOT(ISERROR(SEARCH("E1",J5)))</formula>
    </cfRule>
    <cfRule type="containsText" dxfId="541" priority="28" operator="containsText" text="DO">
      <formula>NOT(ISERROR(SEARCH("DO",J5)))</formula>
    </cfRule>
    <cfRule type="containsText" dxfId="540" priority="29" operator="containsText" text="VA">
      <formula>NOT(ISERROR(SEARCH("VA",J5)))</formula>
    </cfRule>
    <cfRule type="containsText" dxfId="539" priority="30" operator="containsText" text="T1">
      <formula>NOT(ISERROR(SEARCH("T1",J5)))</formula>
    </cfRule>
    <cfRule type="containsText" dxfId="538" priority="31" operator="containsText" text="T2">
      <formula>NOT(ISERROR(SEARCH("T2",J5)))</formula>
    </cfRule>
    <cfRule type="containsText" dxfId="537" priority="32" operator="containsText" text="T3">
      <formula>NOT(ISERROR(SEARCH("T3",J5)))</formula>
    </cfRule>
  </conditionalFormatting>
  <conditionalFormatting sqref="M8:M9">
    <cfRule type="containsText" dxfId="536" priority="13" operator="containsText" text="OT">
      <formula>NOT(ISERROR(SEARCH("OT",M8)))</formula>
    </cfRule>
    <cfRule type="containsText" dxfId="535" priority="14" operator="containsText" text="SD">
      <formula>NOT(ISERROR(SEARCH("SD",M8)))</formula>
    </cfRule>
    <cfRule type="containsText" dxfId="534" priority="15" operator="containsText" text="E3">
      <formula>NOT(ISERROR(SEARCH("E3",M8)))</formula>
    </cfRule>
    <cfRule type="containsText" dxfId="533" priority="16" operator="containsText" text="E2">
      <formula>NOT(ISERROR(SEARCH("E2",M8)))</formula>
    </cfRule>
    <cfRule type="containsText" dxfId="532" priority="17" operator="containsText" text="E1">
      <formula>NOT(ISERROR(SEARCH("E1",M8)))</formula>
    </cfRule>
    <cfRule type="containsText" dxfId="531" priority="18" operator="containsText" text="DO">
      <formula>NOT(ISERROR(SEARCH("DO",M8)))</formula>
    </cfRule>
    <cfRule type="containsText" dxfId="530" priority="19" operator="containsText" text="VA">
      <formula>NOT(ISERROR(SEARCH("VA",M8)))</formula>
    </cfRule>
    <cfRule type="containsText" dxfId="529" priority="20" operator="containsText" text="T1">
      <formula>NOT(ISERROR(SEARCH("T1",M8)))</formula>
    </cfRule>
    <cfRule type="containsText" dxfId="528" priority="21" operator="containsText" text="T2">
      <formula>NOT(ISERROR(SEARCH("T2",M8)))</formula>
    </cfRule>
    <cfRule type="containsText" dxfId="527" priority="22" operator="containsText" text="T3">
      <formula>NOT(ISERROR(SEARCH("T3",M8)))</formula>
    </cfRule>
  </conditionalFormatting>
  <conditionalFormatting sqref="J6">
    <cfRule type="containsText" dxfId="526" priority="1" operator="containsText" text="HB">
      <formula>NOT(ISERROR(SEARCH("HB",J6)))</formula>
    </cfRule>
    <cfRule type="containsText" dxfId="525" priority="2" operator="containsText" text="OT">
      <formula>NOT(ISERROR(SEARCH("OT",J6)))</formula>
    </cfRule>
    <cfRule type="containsText" dxfId="524" priority="3" operator="containsText" text="SD">
      <formula>NOT(ISERROR(SEARCH("SD",J6)))</formula>
    </cfRule>
    <cfRule type="containsText" dxfId="523" priority="4" operator="containsText" text="E3">
      <formula>NOT(ISERROR(SEARCH("E3",J6)))</formula>
    </cfRule>
    <cfRule type="containsText" dxfId="522" priority="5" operator="containsText" text="E2">
      <formula>NOT(ISERROR(SEARCH("E2",J6)))</formula>
    </cfRule>
    <cfRule type="containsText" dxfId="521" priority="6" operator="containsText" text="E1">
      <formula>NOT(ISERROR(SEARCH("E1",J6)))</formula>
    </cfRule>
    <cfRule type="containsText" dxfId="520" priority="7" operator="containsText" text="DO">
      <formula>NOT(ISERROR(SEARCH("DO",J6)))</formula>
    </cfRule>
    <cfRule type="containsText" dxfId="519" priority="8" operator="containsText" text="VA">
      <formula>NOT(ISERROR(SEARCH("VA",J6)))</formula>
    </cfRule>
    <cfRule type="containsText" dxfId="518" priority="9" operator="containsText" text="T1">
      <formula>NOT(ISERROR(SEARCH("T1",J6)))</formula>
    </cfRule>
    <cfRule type="containsText" dxfId="517" priority="10" operator="containsText" text="T2">
      <formula>NOT(ISERROR(SEARCH("T2",J6)))</formula>
    </cfRule>
    <cfRule type="containsText" dxfId="516" priority="11" operator="containsText" text="T3">
      <formula>NOT(ISERROR(SEARCH("T3",J6)))</formula>
    </cfRule>
  </conditionalFormatting>
  <dataValidations count="1">
    <dataValidation type="list" allowBlank="1" showInputMessage="1" showErrorMessage="1" sqref="M5" xr:uid="{A8CE6CDA-3821-4FCD-93F9-8C10DF443289}">
      <formula1>#REF!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B05BECC-DD97-4CBD-873F-6D2D2A511CA8}">
          <x14:formula1>
            <xm:f>Configuração!$N$7:$N$23</xm:f>
          </x14:formula1>
          <xm:sqref>AC6:AD8</xm:sqref>
        </x14:dataValidation>
        <x14:dataValidation type="list" allowBlank="1" showInputMessage="1" showErrorMessage="1" xr:uid="{F952DDBB-C8B6-4ECE-9980-7C4D95051F36}">
          <x14:formula1>
            <xm:f>Configuração!$N$7:$N$1048576</xm:f>
          </x14:formula1>
          <xm:sqref>P5:P9</xm:sqref>
        </x14:dataValidation>
        <x14:dataValidation type="list" allowBlank="1" showInputMessage="1" showErrorMessage="1" xr:uid="{9E534445-F135-457D-B125-231FA6134F63}">
          <x14:formula1>
            <xm:f>Configuração!$U$7:$U$17</xm:f>
          </x14:formula1>
          <xm:sqref>J6</xm:sqref>
        </x14:dataValidation>
        <x14:dataValidation type="list" allowBlank="1" showInputMessage="1" showErrorMessage="1" xr:uid="{F2D6763A-18A6-4904-98D4-706A0C25671A}">
          <x14:formula1>
            <xm:f>Configuração!$U$7:$U$16</xm:f>
          </x14:formula1>
          <xm:sqref>Z6:Z8 J8:J10 J5 M8:M9</xm:sqref>
        </x14:dataValidation>
        <x14:dataValidation type="list" allowBlank="1" showInputMessage="1" showErrorMessage="1" xr:uid="{774C1C7B-ED53-4391-977A-2EB66A2310CF}">
          <x14:formula1>
            <xm:f>Configuração!$L$7:$L$27</xm:f>
          </x14:formula1>
          <xm:sqref>S5:X9 A17:A24</xm:sqref>
        </x14:dataValidation>
        <x14:dataValidation type="list" allowBlank="1" showInputMessage="1" showErrorMessage="1" xr:uid="{6C345165-DB5E-42DA-8C9E-E369A80854F1}">
          <x14:formula1>
            <xm:f>Configuração!$Q$6:$Q$56</xm:f>
          </x14:formula1>
          <xm:sqref>D5:G5</xm:sqref>
        </x14:dataValidation>
        <x14:dataValidation type="list" allowBlank="1" showInputMessage="1" showErrorMessage="1" xr:uid="{7012CF45-FBAC-43B3-AE3F-3D66E3EC800D}">
          <x14:formula1>
            <xm:f>Configuração!$U$7:$U$22</xm:f>
          </x14:formula1>
          <xm:sqref>B17:AF37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3648-4E2B-4E56-9CFF-E581E75EDBAA}">
  <sheetPr codeName="Planilha10"/>
  <dimension ref="A1:AF40"/>
  <sheetViews>
    <sheetView zoomScale="90" zoomScaleNormal="90" workbookViewId="0">
      <selection activeCell="AG1" sqref="AG1"/>
    </sheetView>
  </sheetViews>
  <sheetFormatPr defaultRowHeight="14.4" x14ac:dyDescent="0.3"/>
  <cols>
    <col min="1" max="1" width="11.77734375" bestFit="1" customWidth="1"/>
    <col min="2" max="32" width="6.6640625" customWidth="1"/>
  </cols>
  <sheetData>
    <row r="1" spans="1:32" ht="31.2" x14ac:dyDescent="0.3">
      <c r="A1" s="12"/>
      <c r="B1" s="12"/>
      <c r="C1" s="12"/>
      <c r="D1" s="12"/>
      <c r="E1" s="13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 ht="78.75" customHeight="1" x14ac:dyDescent="0.3">
      <c r="A2" s="14"/>
      <c r="B2" s="14"/>
      <c r="C2" s="14"/>
      <c r="D2" s="14"/>
      <c r="E2" s="1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32" ht="15" hidden="1" thickBot="1" x14ac:dyDescent="0.35">
      <c r="A3" s="8" t="s">
        <v>13</v>
      </c>
      <c r="B3" s="9" t="str">
        <f>IF(MONTH(D5)=5,"FE",IF(MONTH(D5)=1,"FE",""))</f>
        <v/>
      </c>
      <c r="C3" s="10" t="str">
        <f>IF(MONTH(D5)=11,"FE","")</f>
        <v/>
      </c>
      <c r="D3" s="10"/>
      <c r="E3" s="10" t="str">
        <f>IF(MONTH(D5)=3,"FE","")</f>
        <v/>
      </c>
      <c r="F3" s="10"/>
      <c r="G3" s="10"/>
      <c r="H3" s="10" t="str">
        <f>IF(MONTH(D5)=9,"FE","")</f>
        <v/>
      </c>
      <c r="I3" s="10"/>
      <c r="J3" s="10" t="str">
        <f>IF(MONTH(D5)=7,"FE","")</f>
        <v>FE</v>
      </c>
      <c r="K3" s="10"/>
      <c r="L3" s="10"/>
      <c r="M3" s="10" t="str">
        <f>IF(MONTH(D5)=10,"FE","")</f>
        <v/>
      </c>
      <c r="N3" s="10"/>
      <c r="O3" s="10"/>
      <c r="P3" s="10" t="str">
        <f>IF(MONTH(D5)=11,"FE","")</f>
        <v/>
      </c>
      <c r="Q3" s="10"/>
      <c r="R3" s="10"/>
      <c r="S3" s="10"/>
      <c r="T3" s="10"/>
      <c r="U3" s="10" t="str">
        <f>IF(MONTH(D5)=11,"FE","")</f>
        <v/>
      </c>
      <c r="V3" s="10" t="str">
        <f>IF(MONTH(D5)=4,"FE","")</f>
        <v/>
      </c>
      <c r="W3" s="10"/>
      <c r="X3" s="10"/>
      <c r="Y3" s="10"/>
      <c r="Z3" s="10" t="str">
        <f>IF(MONTH(D5)=12,"FE",IF(MONTH(D5)=1,"FE",""))</f>
        <v/>
      </c>
      <c r="AA3" s="10"/>
      <c r="AB3" s="10"/>
      <c r="AC3" s="10"/>
      <c r="AD3" s="10"/>
      <c r="AE3" s="10" t="str">
        <f>IF(MONTH(D5)=5,"FE","")</f>
        <v/>
      </c>
      <c r="AF3" s="11"/>
    </row>
    <row r="4" spans="1:3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3">
      <c r="A5" s="1"/>
      <c r="B5" s="72" t="s">
        <v>14</v>
      </c>
      <c r="C5" s="72"/>
      <c r="D5" s="73">
        <v>46204</v>
      </c>
      <c r="E5" s="73"/>
      <c r="F5" s="73"/>
      <c r="G5" s="73"/>
      <c r="H5" s="81" t="s">
        <v>68</v>
      </c>
      <c r="I5" s="82"/>
      <c r="J5" s="17" t="s">
        <v>67</v>
      </c>
      <c r="K5" s="1"/>
      <c r="L5" s="1"/>
      <c r="M5" s="76" t="s">
        <v>3</v>
      </c>
      <c r="N5" s="77" t="s">
        <v>17</v>
      </c>
      <c r="O5" s="77"/>
      <c r="P5" s="75" t="s">
        <v>83</v>
      </c>
      <c r="Q5" s="75"/>
      <c r="R5" s="75"/>
      <c r="S5" s="75" t="s">
        <v>7</v>
      </c>
      <c r="T5" s="75"/>
      <c r="U5" s="75"/>
      <c r="V5" s="75" t="s">
        <v>80</v>
      </c>
      <c r="W5" s="75"/>
      <c r="X5" s="75"/>
      <c r="Y5" s="1"/>
      <c r="Z5" s="80" t="s">
        <v>18</v>
      </c>
      <c r="AA5" s="80"/>
      <c r="AB5" s="80"/>
      <c r="AC5" s="80"/>
      <c r="AD5" s="80"/>
      <c r="AE5" s="1"/>
      <c r="AF5" s="1"/>
    </row>
    <row r="6" spans="1:32" x14ac:dyDescent="0.3">
      <c r="A6" s="1"/>
      <c r="B6" s="72" t="s">
        <v>19</v>
      </c>
      <c r="C6" s="72"/>
      <c r="D6" s="74">
        <f>EOMONTH(D5,0)</f>
        <v>46234</v>
      </c>
      <c r="E6" s="74"/>
      <c r="F6" s="74"/>
      <c r="G6" s="74"/>
      <c r="H6" s="81" t="s">
        <v>82</v>
      </c>
      <c r="I6" s="82"/>
      <c r="J6" s="18" t="s">
        <v>81</v>
      </c>
      <c r="K6" s="1"/>
      <c r="L6" s="1"/>
      <c r="M6" s="76"/>
      <c r="N6" s="77"/>
      <c r="O6" s="77"/>
      <c r="P6" s="75" t="s">
        <v>94</v>
      </c>
      <c r="Q6" s="75"/>
      <c r="R6" s="75"/>
      <c r="S6" s="75" t="s">
        <v>6</v>
      </c>
      <c r="T6" s="75"/>
      <c r="U6" s="75"/>
      <c r="V6" s="75"/>
      <c r="W6" s="75"/>
      <c r="X6" s="75"/>
      <c r="Y6" s="1"/>
      <c r="Z6" s="19" t="s">
        <v>22</v>
      </c>
      <c r="AA6" s="77" t="s">
        <v>23</v>
      </c>
      <c r="AB6" s="77"/>
      <c r="AC6" s="75" t="s">
        <v>83</v>
      </c>
      <c r="AD6" s="75"/>
      <c r="AE6" s="1"/>
      <c r="AF6" s="1"/>
    </row>
    <row r="7" spans="1:32" x14ac:dyDescent="0.3">
      <c r="A7" s="1"/>
      <c r="B7" s="72" t="s">
        <v>24</v>
      </c>
      <c r="C7" s="72"/>
      <c r="D7" s="75">
        <f>DAY(D6)</f>
        <v>31</v>
      </c>
      <c r="E7" s="75"/>
      <c r="F7" s="75"/>
      <c r="G7" s="75"/>
      <c r="H7" s="78" t="s">
        <v>25</v>
      </c>
      <c r="I7" s="79"/>
      <c r="J7" s="19" t="s">
        <v>26</v>
      </c>
      <c r="K7" s="1"/>
      <c r="L7" s="1"/>
      <c r="M7" s="76"/>
      <c r="N7" s="77"/>
      <c r="O7" s="77"/>
      <c r="P7" s="75" t="s">
        <v>27</v>
      </c>
      <c r="Q7" s="75"/>
      <c r="R7" s="75"/>
      <c r="S7" s="75" t="s">
        <v>73</v>
      </c>
      <c r="T7" s="75"/>
      <c r="U7" s="75"/>
      <c r="V7" s="75"/>
      <c r="W7" s="75"/>
      <c r="X7" s="75"/>
      <c r="Y7" s="1"/>
      <c r="Z7" s="19" t="s">
        <v>28</v>
      </c>
      <c r="AA7" s="77" t="s">
        <v>29</v>
      </c>
      <c r="AB7" s="77"/>
      <c r="AC7" s="75" t="s">
        <v>30</v>
      </c>
      <c r="AD7" s="75"/>
      <c r="AE7" s="1"/>
      <c r="AF7" s="1"/>
    </row>
    <row r="8" spans="1:32" x14ac:dyDescent="0.3">
      <c r="A8" s="1"/>
      <c r="B8" s="1"/>
      <c r="C8" s="1"/>
      <c r="D8" s="1"/>
      <c r="E8" s="1"/>
      <c r="F8" s="1"/>
      <c r="G8" s="1"/>
      <c r="H8" s="78" t="s">
        <v>15</v>
      </c>
      <c r="I8" s="79"/>
      <c r="J8" s="19" t="s">
        <v>16</v>
      </c>
      <c r="K8" s="1"/>
      <c r="L8" s="1"/>
      <c r="M8" s="19" t="s">
        <v>8</v>
      </c>
      <c r="N8" s="77" t="s">
        <v>29</v>
      </c>
      <c r="O8" s="77"/>
      <c r="P8" s="75" t="s">
        <v>30</v>
      </c>
      <c r="Q8" s="75"/>
      <c r="R8" s="75"/>
      <c r="S8" s="75" t="s">
        <v>9</v>
      </c>
      <c r="T8" s="75"/>
      <c r="U8" s="75"/>
      <c r="V8" s="75" t="s">
        <v>74</v>
      </c>
      <c r="W8" s="75"/>
      <c r="X8" s="75"/>
      <c r="Y8" s="1"/>
      <c r="Z8" s="19" t="s">
        <v>31</v>
      </c>
      <c r="AA8" s="77" t="s">
        <v>32</v>
      </c>
      <c r="AB8" s="77"/>
      <c r="AC8" s="75" t="s">
        <v>84</v>
      </c>
      <c r="AD8" s="75"/>
      <c r="AE8" s="1"/>
      <c r="AF8" s="1"/>
    </row>
    <row r="9" spans="1:32" x14ac:dyDescent="0.3">
      <c r="A9" s="1"/>
      <c r="B9" s="1"/>
      <c r="C9" s="1"/>
      <c r="D9" s="1"/>
      <c r="E9" s="1"/>
      <c r="F9" s="1"/>
      <c r="G9" s="1"/>
      <c r="H9" s="78" t="s">
        <v>20</v>
      </c>
      <c r="I9" s="79"/>
      <c r="J9" s="19" t="s">
        <v>21</v>
      </c>
      <c r="K9" s="1"/>
      <c r="L9" s="1"/>
      <c r="M9" s="19" t="s">
        <v>11</v>
      </c>
      <c r="N9" s="77" t="s">
        <v>33</v>
      </c>
      <c r="O9" s="77"/>
      <c r="P9" s="75" t="s">
        <v>84</v>
      </c>
      <c r="Q9" s="75"/>
      <c r="R9" s="75"/>
      <c r="S9" s="75" t="s">
        <v>10</v>
      </c>
      <c r="T9" s="75"/>
      <c r="U9" s="75"/>
      <c r="V9" s="75" t="s">
        <v>12</v>
      </c>
      <c r="W9" s="75"/>
      <c r="X9" s="75"/>
      <c r="Y9" s="1"/>
      <c r="Z9" s="1"/>
      <c r="AA9" s="1"/>
      <c r="AB9" s="1"/>
      <c r="AC9" s="1"/>
      <c r="AD9" s="1"/>
      <c r="AE9" s="1"/>
      <c r="AF9" s="1"/>
    </row>
    <row r="10" spans="1:32" x14ac:dyDescent="0.3">
      <c r="A10" s="1"/>
      <c r="B10" s="1"/>
      <c r="C10" s="1"/>
      <c r="D10" s="1"/>
      <c r="E10" s="1"/>
      <c r="F10" s="1"/>
      <c r="G10" s="1"/>
      <c r="H10" s="81" t="s">
        <v>70</v>
      </c>
      <c r="I10" s="82"/>
      <c r="J10" s="19" t="s">
        <v>69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22.8" x14ac:dyDescent="0.3">
      <c r="A14" s="69" t="s">
        <v>0</v>
      </c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1"/>
    </row>
    <row r="15" spans="1:32" x14ac:dyDescent="0.3">
      <c r="A15" s="114" t="s">
        <v>1</v>
      </c>
      <c r="B15" s="20" t="str">
        <f>UPPER(TEXT(B16,"[$]ddd"))</f>
        <v>QUA</v>
      </c>
      <c r="C15" s="20" t="str">
        <f t="shared" ref="C15:AF15" si="0">UPPER(TEXT(C16,"[$]ddd"))</f>
        <v>QUI</v>
      </c>
      <c r="D15" s="20" t="str">
        <f t="shared" si="0"/>
        <v>SEX</v>
      </c>
      <c r="E15" s="20" t="str">
        <f t="shared" si="0"/>
        <v>SÁB</v>
      </c>
      <c r="F15" s="20" t="str">
        <f t="shared" si="0"/>
        <v>DOM</v>
      </c>
      <c r="G15" s="20" t="str">
        <f t="shared" si="0"/>
        <v>SEG</v>
      </c>
      <c r="H15" s="20" t="str">
        <f t="shared" si="0"/>
        <v>TER</v>
      </c>
      <c r="I15" s="20" t="str">
        <f t="shared" si="0"/>
        <v>QUA</v>
      </c>
      <c r="J15" s="20" t="str">
        <f t="shared" si="0"/>
        <v>QUI</v>
      </c>
      <c r="K15" s="20" t="str">
        <f t="shared" si="0"/>
        <v>SEX</v>
      </c>
      <c r="L15" s="20" t="str">
        <f t="shared" si="0"/>
        <v>SÁB</v>
      </c>
      <c r="M15" s="20" t="str">
        <f t="shared" si="0"/>
        <v>DOM</v>
      </c>
      <c r="N15" s="20" t="str">
        <f t="shared" si="0"/>
        <v>SEG</v>
      </c>
      <c r="O15" s="20" t="str">
        <f t="shared" si="0"/>
        <v>TER</v>
      </c>
      <c r="P15" s="20" t="str">
        <f t="shared" si="0"/>
        <v>QUA</v>
      </c>
      <c r="Q15" s="20" t="str">
        <f t="shared" si="0"/>
        <v>QUI</v>
      </c>
      <c r="R15" s="20" t="str">
        <f t="shared" si="0"/>
        <v>SEX</v>
      </c>
      <c r="S15" s="20" t="str">
        <f t="shared" si="0"/>
        <v>SÁB</v>
      </c>
      <c r="T15" s="20" t="str">
        <f t="shared" si="0"/>
        <v>DOM</v>
      </c>
      <c r="U15" s="20" t="str">
        <f t="shared" si="0"/>
        <v>SEG</v>
      </c>
      <c r="V15" s="20" t="str">
        <f t="shared" si="0"/>
        <v>TER</v>
      </c>
      <c r="W15" s="20" t="str">
        <f t="shared" si="0"/>
        <v>QUA</v>
      </c>
      <c r="X15" s="20" t="str">
        <f t="shared" si="0"/>
        <v>QUI</v>
      </c>
      <c r="Y15" s="20" t="str">
        <f t="shared" si="0"/>
        <v>SEX</v>
      </c>
      <c r="Z15" s="20" t="str">
        <f t="shared" si="0"/>
        <v>SÁB</v>
      </c>
      <c r="AA15" s="20" t="str">
        <f t="shared" si="0"/>
        <v>DOM</v>
      </c>
      <c r="AB15" s="20" t="str">
        <f t="shared" si="0"/>
        <v>SEG</v>
      </c>
      <c r="AC15" s="20" t="str">
        <f t="shared" si="0"/>
        <v>TER</v>
      </c>
      <c r="AD15" s="20" t="str">
        <f t="shared" si="0"/>
        <v>QUA</v>
      </c>
      <c r="AE15" s="20" t="str">
        <f t="shared" si="0"/>
        <v>QUI</v>
      </c>
      <c r="AF15" s="21" t="str">
        <f t="shared" si="0"/>
        <v>SEX</v>
      </c>
    </row>
    <row r="16" spans="1:32" x14ac:dyDescent="0.3">
      <c r="A16" s="115"/>
      <c r="B16" s="22">
        <f>D5</f>
        <v>46204</v>
      </c>
      <c r="C16" s="23">
        <f>B16+1</f>
        <v>46205</v>
      </c>
      <c r="D16" s="23">
        <f t="shared" ref="D16:AF16" si="1">C16+1</f>
        <v>46206</v>
      </c>
      <c r="E16" s="23">
        <f t="shared" si="1"/>
        <v>46207</v>
      </c>
      <c r="F16" s="23">
        <f t="shared" si="1"/>
        <v>46208</v>
      </c>
      <c r="G16" s="23">
        <f t="shared" si="1"/>
        <v>46209</v>
      </c>
      <c r="H16" s="23">
        <f t="shared" si="1"/>
        <v>46210</v>
      </c>
      <c r="I16" s="23">
        <f t="shared" si="1"/>
        <v>46211</v>
      </c>
      <c r="J16" s="23">
        <f t="shared" si="1"/>
        <v>46212</v>
      </c>
      <c r="K16" s="23">
        <f t="shared" si="1"/>
        <v>46213</v>
      </c>
      <c r="L16" s="23">
        <f t="shared" si="1"/>
        <v>46214</v>
      </c>
      <c r="M16" s="23">
        <f t="shared" si="1"/>
        <v>46215</v>
      </c>
      <c r="N16" s="23">
        <f t="shared" si="1"/>
        <v>46216</v>
      </c>
      <c r="O16" s="23">
        <f t="shared" si="1"/>
        <v>46217</v>
      </c>
      <c r="P16" s="23">
        <f t="shared" si="1"/>
        <v>46218</v>
      </c>
      <c r="Q16" s="23">
        <f t="shared" si="1"/>
        <v>46219</v>
      </c>
      <c r="R16" s="23">
        <f t="shared" si="1"/>
        <v>46220</v>
      </c>
      <c r="S16" s="23">
        <f t="shared" si="1"/>
        <v>46221</v>
      </c>
      <c r="T16" s="23">
        <f t="shared" si="1"/>
        <v>46222</v>
      </c>
      <c r="U16" s="23">
        <f t="shared" si="1"/>
        <v>46223</v>
      </c>
      <c r="V16" s="23">
        <f t="shared" si="1"/>
        <v>46224</v>
      </c>
      <c r="W16" s="23">
        <f t="shared" si="1"/>
        <v>46225</v>
      </c>
      <c r="X16" s="23">
        <f t="shared" si="1"/>
        <v>46226</v>
      </c>
      <c r="Y16" s="23">
        <f t="shared" si="1"/>
        <v>46227</v>
      </c>
      <c r="Z16" s="23">
        <f t="shared" si="1"/>
        <v>46228</v>
      </c>
      <c r="AA16" s="23">
        <f t="shared" si="1"/>
        <v>46229</v>
      </c>
      <c r="AB16" s="23">
        <f t="shared" si="1"/>
        <v>46230</v>
      </c>
      <c r="AC16" s="23">
        <f t="shared" si="1"/>
        <v>46231</v>
      </c>
      <c r="AD16" s="23">
        <f t="shared" si="1"/>
        <v>46232</v>
      </c>
      <c r="AE16" s="23">
        <f t="shared" si="1"/>
        <v>46233</v>
      </c>
      <c r="AF16" s="24">
        <f t="shared" si="1"/>
        <v>46234</v>
      </c>
    </row>
    <row r="17" spans="1:32" x14ac:dyDescent="0.3">
      <c r="A17" s="25" t="s">
        <v>7</v>
      </c>
      <c r="B17" s="19" t="s">
        <v>3</v>
      </c>
      <c r="C17" s="19" t="s">
        <v>3</v>
      </c>
      <c r="D17" s="19" t="s">
        <v>3</v>
      </c>
      <c r="E17" s="19"/>
      <c r="F17" s="19"/>
      <c r="G17" s="19" t="s">
        <v>3</v>
      </c>
      <c r="H17" s="19" t="s">
        <v>3</v>
      </c>
      <c r="I17" s="19" t="s">
        <v>3</v>
      </c>
      <c r="J17" s="19" t="s">
        <v>3</v>
      </c>
      <c r="K17" s="19" t="s">
        <v>3</v>
      </c>
      <c r="L17" s="19"/>
      <c r="M17" s="19"/>
      <c r="N17" s="19" t="s">
        <v>3</v>
      </c>
      <c r="O17" s="19" t="s">
        <v>3</v>
      </c>
      <c r="P17" s="19" t="s">
        <v>3</v>
      </c>
      <c r="Q17" s="19" t="s">
        <v>3</v>
      </c>
      <c r="R17" s="19" t="s">
        <v>3</v>
      </c>
      <c r="S17" s="19"/>
      <c r="T17" s="19"/>
      <c r="U17" s="19" t="s">
        <v>3</v>
      </c>
      <c r="V17" s="19" t="s">
        <v>3</v>
      </c>
      <c r="W17" s="19" t="s">
        <v>3</v>
      </c>
      <c r="X17" s="19" t="s">
        <v>3</v>
      </c>
      <c r="Y17" s="19" t="s">
        <v>3</v>
      </c>
      <c r="Z17" s="19"/>
      <c r="AA17" s="19"/>
      <c r="AB17" s="19" t="s">
        <v>3</v>
      </c>
      <c r="AC17" s="19" t="s">
        <v>3</v>
      </c>
      <c r="AD17" s="19" t="s">
        <v>3</v>
      </c>
      <c r="AE17" s="19" t="s">
        <v>3</v>
      </c>
      <c r="AF17" s="26" t="s">
        <v>3</v>
      </c>
    </row>
    <row r="18" spans="1:32" x14ac:dyDescent="0.3">
      <c r="A18" s="25" t="s">
        <v>80</v>
      </c>
      <c r="B18" s="19" t="s">
        <v>3</v>
      </c>
      <c r="C18" s="19" t="s">
        <v>3</v>
      </c>
      <c r="D18" s="19" t="s">
        <v>3</v>
      </c>
      <c r="E18" s="19"/>
      <c r="F18" s="19"/>
      <c r="G18" s="19" t="s">
        <v>3</v>
      </c>
      <c r="H18" s="19" t="s">
        <v>3</v>
      </c>
      <c r="I18" s="19" t="s">
        <v>3</v>
      </c>
      <c r="J18" s="19" t="s">
        <v>3</v>
      </c>
      <c r="K18" s="19" t="s">
        <v>3</v>
      </c>
      <c r="L18" s="19"/>
      <c r="M18" s="19"/>
      <c r="N18" s="19" t="s">
        <v>3</v>
      </c>
      <c r="O18" s="19" t="s">
        <v>3</v>
      </c>
      <c r="P18" s="19" t="s">
        <v>3</v>
      </c>
      <c r="Q18" s="19" t="s">
        <v>3</v>
      </c>
      <c r="R18" s="19" t="s">
        <v>3</v>
      </c>
      <c r="S18" s="19"/>
      <c r="T18" s="19"/>
      <c r="U18" s="19" t="s">
        <v>3</v>
      </c>
      <c r="V18" s="19" t="s">
        <v>3</v>
      </c>
      <c r="W18" s="19" t="s">
        <v>3</v>
      </c>
      <c r="X18" s="19" t="s">
        <v>3</v>
      </c>
      <c r="Y18" s="19" t="s">
        <v>3</v>
      </c>
      <c r="Z18" s="19"/>
      <c r="AA18" s="19"/>
      <c r="AB18" s="19" t="s">
        <v>3</v>
      </c>
      <c r="AC18" s="19" t="s">
        <v>3</v>
      </c>
      <c r="AD18" s="19" t="s">
        <v>3</v>
      </c>
      <c r="AE18" s="19" t="s">
        <v>3</v>
      </c>
      <c r="AF18" s="26" t="s">
        <v>3</v>
      </c>
    </row>
    <row r="19" spans="1:32" x14ac:dyDescent="0.3">
      <c r="A19" s="25" t="s">
        <v>6</v>
      </c>
      <c r="B19" s="19" t="s">
        <v>3</v>
      </c>
      <c r="C19" s="19" t="s">
        <v>3</v>
      </c>
      <c r="D19" s="19" t="s">
        <v>3</v>
      </c>
      <c r="E19" s="19"/>
      <c r="F19" s="19"/>
      <c r="G19" s="19" t="s">
        <v>3</v>
      </c>
      <c r="H19" s="19" t="s">
        <v>3</v>
      </c>
      <c r="I19" s="19" t="s">
        <v>3</v>
      </c>
      <c r="J19" s="19" t="s">
        <v>3</v>
      </c>
      <c r="K19" s="19" t="s">
        <v>3</v>
      </c>
      <c r="L19" s="19"/>
      <c r="M19" s="19"/>
      <c r="N19" s="19" t="s">
        <v>3</v>
      </c>
      <c r="O19" s="19" t="s">
        <v>3</v>
      </c>
      <c r="P19" s="19" t="s">
        <v>3</v>
      </c>
      <c r="Q19" s="19" t="s">
        <v>3</v>
      </c>
      <c r="R19" s="19" t="s">
        <v>3</v>
      </c>
      <c r="S19" s="19"/>
      <c r="T19" s="19"/>
      <c r="U19" s="19" t="s">
        <v>3</v>
      </c>
      <c r="V19" s="19" t="s">
        <v>3</v>
      </c>
      <c r="W19" s="19" t="s">
        <v>3</v>
      </c>
      <c r="X19" s="19" t="s">
        <v>3</v>
      </c>
      <c r="Y19" s="19" t="s">
        <v>3</v>
      </c>
      <c r="Z19" s="19"/>
      <c r="AA19" s="19"/>
      <c r="AB19" s="19" t="s">
        <v>3</v>
      </c>
      <c r="AC19" s="19" t="s">
        <v>3</v>
      </c>
      <c r="AD19" s="19" t="s">
        <v>3</v>
      </c>
      <c r="AE19" s="19" t="s">
        <v>3</v>
      </c>
      <c r="AF19" s="26" t="s">
        <v>3</v>
      </c>
    </row>
    <row r="20" spans="1:32" x14ac:dyDescent="0.3">
      <c r="A20" s="25" t="s">
        <v>73</v>
      </c>
      <c r="B20" s="19" t="s">
        <v>3</v>
      </c>
      <c r="C20" s="19" t="s">
        <v>3</v>
      </c>
      <c r="D20" s="19" t="s">
        <v>3</v>
      </c>
      <c r="E20" s="19"/>
      <c r="F20" s="19"/>
      <c r="G20" s="19" t="s">
        <v>3</v>
      </c>
      <c r="H20" s="19" t="s">
        <v>3</v>
      </c>
      <c r="I20" s="19" t="s">
        <v>3</v>
      </c>
      <c r="J20" s="19" t="s">
        <v>3</v>
      </c>
      <c r="K20" s="19" t="s">
        <v>3</v>
      </c>
      <c r="L20" s="19"/>
      <c r="M20" s="19"/>
      <c r="N20" s="19" t="s">
        <v>3</v>
      </c>
      <c r="O20" s="19" t="s">
        <v>3</v>
      </c>
      <c r="P20" s="19" t="s">
        <v>3</v>
      </c>
      <c r="Q20" s="19" t="s">
        <v>3</v>
      </c>
      <c r="R20" s="19" t="s">
        <v>3</v>
      </c>
      <c r="S20" s="19"/>
      <c r="T20" s="19"/>
      <c r="U20" s="19" t="s">
        <v>3</v>
      </c>
      <c r="V20" s="19" t="s">
        <v>3</v>
      </c>
      <c r="W20" s="19" t="s">
        <v>3</v>
      </c>
      <c r="X20" s="19" t="s">
        <v>3</v>
      </c>
      <c r="Y20" s="19" t="s">
        <v>3</v>
      </c>
      <c r="Z20" s="19"/>
      <c r="AA20" s="19"/>
      <c r="AB20" s="19" t="s">
        <v>3</v>
      </c>
      <c r="AC20" s="19" t="s">
        <v>3</v>
      </c>
      <c r="AD20" s="19" t="s">
        <v>3</v>
      </c>
      <c r="AE20" s="19" t="s">
        <v>3</v>
      </c>
      <c r="AF20" s="26" t="s">
        <v>3</v>
      </c>
    </row>
    <row r="21" spans="1:32" x14ac:dyDescent="0.3">
      <c r="A21" s="25" t="s">
        <v>9</v>
      </c>
      <c r="B21" s="19" t="s">
        <v>8</v>
      </c>
      <c r="C21" s="19" t="s">
        <v>8</v>
      </c>
      <c r="D21" s="19" t="s">
        <v>8</v>
      </c>
      <c r="E21" s="19"/>
      <c r="F21" s="19"/>
      <c r="G21" s="19" t="s">
        <v>8</v>
      </c>
      <c r="H21" s="19" t="s">
        <v>8</v>
      </c>
      <c r="I21" s="19" t="s">
        <v>8</v>
      </c>
      <c r="J21" s="19" t="s">
        <v>8</v>
      </c>
      <c r="K21" s="19" t="s">
        <v>8</v>
      </c>
      <c r="L21" s="19"/>
      <c r="M21" s="19"/>
      <c r="N21" s="19" t="s">
        <v>8</v>
      </c>
      <c r="O21" s="19" t="s">
        <v>8</v>
      </c>
      <c r="P21" s="19" t="s">
        <v>8</v>
      </c>
      <c r="Q21" s="19" t="s">
        <v>8</v>
      </c>
      <c r="R21" s="19" t="s">
        <v>8</v>
      </c>
      <c r="S21" s="19"/>
      <c r="T21" s="19"/>
      <c r="U21" s="19" t="s">
        <v>8</v>
      </c>
      <c r="V21" s="19" t="s">
        <v>8</v>
      </c>
      <c r="W21" s="19" t="s">
        <v>8</v>
      </c>
      <c r="X21" s="19" t="s">
        <v>8</v>
      </c>
      <c r="Y21" s="19" t="s">
        <v>8</v>
      </c>
      <c r="Z21" s="19"/>
      <c r="AA21" s="19"/>
      <c r="AB21" s="19" t="s">
        <v>8</v>
      </c>
      <c r="AC21" s="19" t="s">
        <v>8</v>
      </c>
      <c r="AD21" s="19" t="s">
        <v>8</v>
      </c>
      <c r="AE21" s="19" t="s">
        <v>8</v>
      </c>
      <c r="AF21" s="26" t="s">
        <v>8</v>
      </c>
    </row>
    <row r="22" spans="1:32" x14ac:dyDescent="0.3">
      <c r="A22" s="25" t="s">
        <v>74</v>
      </c>
      <c r="B22" s="19" t="s">
        <v>8</v>
      </c>
      <c r="C22" s="19" t="s">
        <v>8</v>
      </c>
      <c r="D22" s="19" t="s">
        <v>8</v>
      </c>
      <c r="E22" s="19"/>
      <c r="F22" s="19"/>
      <c r="G22" s="19" t="s">
        <v>8</v>
      </c>
      <c r="H22" s="19" t="s">
        <v>8</v>
      </c>
      <c r="I22" s="19" t="s">
        <v>8</v>
      </c>
      <c r="J22" s="19" t="s">
        <v>8</v>
      </c>
      <c r="K22" s="19" t="s">
        <v>8</v>
      </c>
      <c r="L22" s="19"/>
      <c r="M22" s="19"/>
      <c r="N22" s="19" t="s">
        <v>8</v>
      </c>
      <c r="O22" s="19" t="s">
        <v>8</v>
      </c>
      <c r="P22" s="19" t="s">
        <v>8</v>
      </c>
      <c r="Q22" s="19" t="s">
        <v>8</v>
      </c>
      <c r="R22" s="19" t="s">
        <v>8</v>
      </c>
      <c r="S22" s="19"/>
      <c r="T22" s="19"/>
      <c r="U22" s="19" t="s">
        <v>8</v>
      </c>
      <c r="V22" s="19" t="s">
        <v>8</v>
      </c>
      <c r="W22" s="19" t="s">
        <v>8</v>
      </c>
      <c r="X22" s="19" t="s">
        <v>8</v>
      </c>
      <c r="Y22" s="19" t="s">
        <v>8</v>
      </c>
      <c r="Z22" s="19"/>
      <c r="AA22" s="19"/>
      <c r="AB22" s="19" t="s">
        <v>8</v>
      </c>
      <c r="AC22" s="19" t="s">
        <v>8</v>
      </c>
      <c r="AD22" s="19" t="s">
        <v>8</v>
      </c>
      <c r="AE22" s="19" t="s">
        <v>8</v>
      </c>
      <c r="AF22" s="26" t="s">
        <v>8</v>
      </c>
    </row>
    <row r="23" spans="1:32" x14ac:dyDescent="0.3">
      <c r="A23" s="25" t="s">
        <v>10</v>
      </c>
      <c r="B23" s="19" t="s">
        <v>11</v>
      </c>
      <c r="C23" s="19" t="s">
        <v>11</v>
      </c>
      <c r="D23" s="19" t="s">
        <v>11</v>
      </c>
      <c r="E23" s="19"/>
      <c r="F23" s="19"/>
      <c r="G23" s="19" t="s">
        <v>11</v>
      </c>
      <c r="H23" s="19" t="s">
        <v>11</v>
      </c>
      <c r="I23" s="19" t="s">
        <v>11</v>
      </c>
      <c r="J23" s="19" t="s">
        <v>11</v>
      </c>
      <c r="K23" s="19" t="s">
        <v>11</v>
      </c>
      <c r="L23" s="19"/>
      <c r="M23" s="19"/>
      <c r="N23" s="19" t="s">
        <v>11</v>
      </c>
      <c r="O23" s="19" t="s">
        <v>11</v>
      </c>
      <c r="P23" s="19" t="s">
        <v>11</v>
      </c>
      <c r="Q23" s="19" t="s">
        <v>11</v>
      </c>
      <c r="R23" s="19" t="s">
        <v>11</v>
      </c>
      <c r="S23" s="19"/>
      <c r="T23" s="19"/>
      <c r="U23" s="19" t="s">
        <v>11</v>
      </c>
      <c r="V23" s="19" t="s">
        <v>11</v>
      </c>
      <c r="W23" s="19" t="s">
        <v>11</v>
      </c>
      <c r="X23" s="19" t="s">
        <v>11</v>
      </c>
      <c r="Y23" s="19" t="s">
        <v>11</v>
      </c>
      <c r="Z23" s="19"/>
      <c r="AA23" s="19"/>
      <c r="AB23" s="19" t="s">
        <v>11</v>
      </c>
      <c r="AC23" s="19" t="s">
        <v>11</v>
      </c>
      <c r="AD23" s="19" t="s">
        <v>11</v>
      </c>
      <c r="AE23" s="19" t="s">
        <v>11</v>
      </c>
      <c r="AF23" s="26" t="s">
        <v>11</v>
      </c>
    </row>
    <row r="24" spans="1:32" ht="15" thickBot="1" x14ac:dyDescent="0.35">
      <c r="A24" s="27" t="s">
        <v>12</v>
      </c>
      <c r="B24" s="28" t="s">
        <v>11</v>
      </c>
      <c r="C24" s="28" t="s">
        <v>11</v>
      </c>
      <c r="D24" s="28" t="s">
        <v>11</v>
      </c>
      <c r="E24" s="28"/>
      <c r="F24" s="28"/>
      <c r="G24" s="28" t="s">
        <v>11</v>
      </c>
      <c r="H24" s="28" t="s">
        <v>11</v>
      </c>
      <c r="I24" s="28" t="s">
        <v>11</v>
      </c>
      <c r="J24" s="28" t="s">
        <v>11</v>
      </c>
      <c r="K24" s="28" t="s">
        <v>11</v>
      </c>
      <c r="L24" s="28"/>
      <c r="M24" s="28"/>
      <c r="N24" s="28" t="s">
        <v>11</v>
      </c>
      <c r="O24" s="28" t="s">
        <v>11</v>
      </c>
      <c r="P24" s="28" t="s">
        <v>11</v>
      </c>
      <c r="Q24" s="28" t="s">
        <v>11</v>
      </c>
      <c r="R24" s="28" t="s">
        <v>11</v>
      </c>
      <c r="S24" s="28"/>
      <c r="T24" s="28"/>
      <c r="U24" s="28" t="s">
        <v>11</v>
      </c>
      <c r="V24" s="28" t="s">
        <v>11</v>
      </c>
      <c r="W24" s="28" t="s">
        <v>11</v>
      </c>
      <c r="X24" s="28" t="s">
        <v>11</v>
      </c>
      <c r="Y24" s="28" t="s">
        <v>11</v>
      </c>
      <c r="Z24" s="28"/>
      <c r="AA24" s="28"/>
      <c r="AB24" s="28" t="s">
        <v>11</v>
      </c>
      <c r="AC24" s="28" t="s">
        <v>11</v>
      </c>
      <c r="AD24" s="28" t="s">
        <v>11</v>
      </c>
      <c r="AE24" s="28" t="s">
        <v>11</v>
      </c>
      <c r="AF24" s="29" t="s">
        <v>11</v>
      </c>
    </row>
    <row r="25" spans="1:3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</sheetData>
  <mergeCells count="40">
    <mergeCell ref="S5:U5"/>
    <mergeCell ref="V5:X5"/>
    <mergeCell ref="Z5:AD5"/>
    <mergeCell ref="B6:C6"/>
    <mergeCell ref="D6:G6"/>
    <mergeCell ref="H6:I6"/>
    <mergeCell ref="P6:R6"/>
    <mergeCell ref="S6:U6"/>
    <mergeCell ref="V6:X6"/>
    <mergeCell ref="AA6:AB6"/>
    <mergeCell ref="B5:C5"/>
    <mergeCell ref="D5:G5"/>
    <mergeCell ref="H5:I5"/>
    <mergeCell ref="M5:M7"/>
    <mergeCell ref="N5:O7"/>
    <mergeCell ref="P5:R5"/>
    <mergeCell ref="AC6:AD6"/>
    <mergeCell ref="B7:C7"/>
    <mergeCell ref="D7:G7"/>
    <mergeCell ref="H7:I7"/>
    <mergeCell ref="P7:R7"/>
    <mergeCell ref="S7:U7"/>
    <mergeCell ref="V7:X7"/>
    <mergeCell ref="AA7:AB7"/>
    <mergeCell ref="AC7:AD7"/>
    <mergeCell ref="A15:A16"/>
    <mergeCell ref="H10:I10"/>
    <mergeCell ref="A14:AF14"/>
    <mergeCell ref="AC8:AD8"/>
    <mergeCell ref="H9:I9"/>
    <mergeCell ref="N9:O9"/>
    <mergeCell ref="P9:R9"/>
    <mergeCell ref="S9:U9"/>
    <mergeCell ref="V9:X9"/>
    <mergeCell ref="H8:I8"/>
    <mergeCell ref="N8:O8"/>
    <mergeCell ref="P8:R8"/>
    <mergeCell ref="S8:U8"/>
    <mergeCell ref="V8:X8"/>
    <mergeCell ref="AA8:AB8"/>
  </mergeCells>
  <conditionalFormatting sqref="B3:AF3">
    <cfRule type="containsText" dxfId="515" priority="49" operator="containsText" text="FE">
      <formula>NOT(ISERROR(SEARCH("FE",B3)))</formula>
    </cfRule>
  </conditionalFormatting>
  <conditionalFormatting sqref="B17:AF24">
    <cfRule type="containsText" dxfId="514" priority="12" operator="containsText" text="HB">
      <formula>NOT(ISERROR(SEARCH("HB",B17)))</formula>
    </cfRule>
    <cfRule type="containsText" dxfId="513" priority="33" operator="containsText" text="OT">
      <formula>NOT(ISERROR(SEARCH("OT",B17)))</formula>
    </cfRule>
    <cfRule type="containsText" dxfId="512" priority="34" operator="containsText" text="SD">
      <formula>NOT(ISERROR(SEARCH("SD",B17)))</formula>
    </cfRule>
    <cfRule type="containsText" dxfId="511" priority="35" operator="containsText" text="E3">
      <formula>NOT(ISERROR(SEARCH("E3",B17)))</formula>
    </cfRule>
    <cfRule type="containsText" dxfId="510" priority="36" operator="containsText" text="E2">
      <formula>NOT(ISERROR(SEARCH("E2",B17)))</formula>
    </cfRule>
    <cfRule type="containsText" dxfId="509" priority="37" operator="containsText" text="E1">
      <formula>NOT(ISERROR(SEARCH("E1",B17)))</formula>
    </cfRule>
    <cfRule type="containsText" dxfId="508" priority="44" operator="containsText" text="DO">
      <formula>NOT(ISERROR(SEARCH("DO",B17)))</formula>
    </cfRule>
    <cfRule type="containsText" dxfId="507" priority="45" operator="containsText" text="VA">
      <formula>NOT(ISERROR(SEARCH("VA",B17)))</formula>
    </cfRule>
    <cfRule type="containsText" dxfId="506" priority="46" operator="containsText" text="T1">
      <formula>NOT(ISERROR(SEARCH("T1",B17)))</formula>
    </cfRule>
    <cfRule type="containsText" dxfId="505" priority="47" operator="containsText" text="T2">
      <formula>NOT(ISERROR(SEARCH("T2",B17)))</formula>
    </cfRule>
    <cfRule type="containsText" dxfId="504" priority="48" operator="containsText" text="T3">
      <formula>NOT(ISERROR(SEARCH("T3",B17)))</formula>
    </cfRule>
  </conditionalFormatting>
  <conditionalFormatting sqref="B15:AF15">
    <cfRule type="containsText" dxfId="503" priority="42" operator="containsText" text="DOM">
      <formula>NOT(ISERROR(SEARCH("DOM",B15)))</formula>
    </cfRule>
    <cfRule type="containsText" dxfId="502" priority="43" operator="containsText" text="SÁB">
      <formula>NOT(ISERROR(SEARCH("SÁB",B15)))</formula>
    </cfRule>
  </conditionalFormatting>
  <conditionalFormatting sqref="J7">
    <cfRule type="containsText" dxfId="501" priority="41" operator="containsText" text="FE">
      <formula>NOT(ISERROR(SEARCH("FE",J7)))</formula>
    </cfRule>
  </conditionalFormatting>
  <conditionalFormatting sqref="M5">
    <cfRule type="containsText" dxfId="500" priority="38" operator="containsText" text="T3">
      <formula>NOT(ISERROR(SEARCH("T3",M5)))</formula>
    </cfRule>
    <cfRule type="containsText" dxfId="499" priority="39" operator="containsText" text="T2">
      <formula>NOT(ISERROR(SEARCH("T2",M5)))</formula>
    </cfRule>
    <cfRule type="containsText" dxfId="498" priority="40" operator="containsText" text="T1">
      <formula>NOT(ISERROR(SEARCH("T1",M5)))</formula>
    </cfRule>
  </conditionalFormatting>
  <conditionalFormatting sqref="B16">
    <cfRule type="expression" dxfId="497" priority="50">
      <formula>$B$3="FE"</formula>
    </cfRule>
  </conditionalFormatting>
  <conditionalFormatting sqref="C16">
    <cfRule type="expression" dxfId="496" priority="51">
      <formula>$C$3="FE"</formula>
    </cfRule>
    <cfRule type="expression" dxfId="495" priority="52">
      <formula>$C$3="FE"</formula>
    </cfRule>
  </conditionalFormatting>
  <conditionalFormatting sqref="D16">
    <cfRule type="expression" dxfId="494" priority="53">
      <formula>$D$3="FE"</formula>
    </cfRule>
    <cfRule type="expression" dxfId="493" priority="54">
      <formula>$D$3="FE"</formula>
    </cfRule>
  </conditionalFormatting>
  <conditionalFormatting sqref="F16">
    <cfRule type="expression" dxfId="492" priority="55">
      <formula>$F$3="FE"</formula>
    </cfRule>
    <cfRule type="expression" dxfId="491" priority="56">
      <formula>$F$3="FE"</formula>
    </cfRule>
  </conditionalFormatting>
  <conditionalFormatting sqref="G16">
    <cfRule type="expression" dxfId="490" priority="57">
      <formula>$G$3="FE"</formula>
    </cfRule>
    <cfRule type="expression" dxfId="489" priority="58">
      <formula>$G$3="FE"</formula>
    </cfRule>
  </conditionalFormatting>
  <conditionalFormatting sqref="H16">
    <cfRule type="expression" dxfId="488" priority="59">
      <formula>$H$3="FE"</formula>
    </cfRule>
  </conditionalFormatting>
  <conditionalFormatting sqref="I16">
    <cfRule type="expression" dxfId="487" priority="60">
      <formula>$I$3="FE"</formula>
    </cfRule>
    <cfRule type="expression" dxfId="486" priority="61">
      <formula>$I$3="FE"</formula>
    </cfRule>
  </conditionalFormatting>
  <conditionalFormatting sqref="J16">
    <cfRule type="expression" dxfId="485" priority="62">
      <formula>$J$3="FE"</formula>
    </cfRule>
    <cfRule type="expression" dxfId="484" priority="63">
      <formula>$J$3="FE"</formula>
    </cfRule>
  </conditionalFormatting>
  <conditionalFormatting sqref="K16">
    <cfRule type="expression" dxfId="483" priority="64">
      <formula>$K$3="FE"</formula>
    </cfRule>
  </conditionalFormatting>
  <conditionalFormatting sqref="L16">
    <cfRule type="expression" dxfId="482" priority="65">
      <formula>$L$3="FE"</formula>
    </cfRule>
  </conditionalFormatting>
  <conditionalFormatting sqref="M16">
    <cfRule type="expression" dxfId="481" priority="66">
      <formula>$M$3="FE"</formula>
    </cfRule>
  </conditionalFormatting>
  <conditionalFormatting sqref="N16">
    <cfRule type="expression" dxfId="480" priority="67">
      <formula>$N$3="FE"</formula>
    </cfRule>
  </conditionalFormatting>
  <conditionalFormatting sqref="O16">
    <cfRule type="expression" dxfId="479" priority="68">
      <formula>$O$3="FE"</formula>
    </cfRule>
  </conditionalFormatting>
  <conditionalFormatting sqref="P16">
    <cfRule type="expression" dxfId="478" priority="69">
      <formula>$P$3="FE"</formula>
    </cfRule>
  </conditionalFormatting>
  <conditionalFormatting sqref="Q16">
    <cfRule type="expression" dxfId="477" priority="70">
      <formula>$Q$3="FE"</formula>
    </cfRule>
  </conditionalFormatting>
  <conditionalFormatting sqref="R16">
    <cfRule type="expression" dxfId="476" priority="71">
      <formula>$R$3="FE"</formula>
    </cfRule>
  </conditionalFormatting>
  <conditionalFormatting sqref="S16">
    <cfRule type="expression" dxfId="475" priority="72">
      <formula>$S$3="FE"</formula>
    </cfRule>
  </conditionalFormatting>
  <conditionalFormatting sqref="T16">
    <cfRule type="expression" dxfId="474" priority="73">
      <formula>$T$3="FE"</formula>
    </cfRule>
  </conditionalFormatting>
  <conditionalFormatting sqref="U16">
    <cfRule type="expression" dxfId="473" priority="74">
      <formula>$U$3="FE"</formula>
    </cfRule>
  </conditionalFormatting>
  <conditionalFormatting sqref="V16">
    <cfRule type="expression" dxfId="472" priority="75">
      <formula>$V$3="FE"</formula>
    </cfRule>
  </conditionalFormatting>
  <conditionalFormatting sqref="W16">
    <cfRule type="expression" dxfId="471" priority="76">
      <formula>$W$3="FE"</formula>
    </cfRule>
  </conditionalFormatting>
  <conditionalFormatting sqref="X16">
    <cfRule type="expression" dxfId="470" priority="77">
      <formula>$X$3="FE"</formula>
    </cfRule>
  </conditionalFormatting>
  <conditionalFormatting sqref="Y16">
    <cfRule type="expression" dxfId="469" priority="78">
      <formula>$Y$3="FE"</formula>
    </cfRule>
  </conditionalFormatting>
  <conditionalFormatting sqref="Z16">
    <cfRule type="expression" dxfId="468" priority="79">
      <formula>$Z$3="FE"</formula>
    </cfRule>
  </conditionalFormatting>
  <conditionalFormatting sqref="AA16">
    <cfRule type="expression" dxfId="467" priority="80">
      <formula>$AA$3="FE"</formula>
    </cfRule>
  </conditionalFormatting>
  <conditionalFormatting sqref="AB16">
    <cfRule type="expression" dxfId="466" priority="81">
      <formula>$AB$3="FE"</formula>
    </cfRule>
  </conditionalFormatting>
  <conditionalFormatting sqref="AC16">
    <cfRule type="expression" dxfId="465" priority="82">
      <formula>$AC$3="FE"</formula>
    </cfRule>
  </conditionalFormatting>
  <conditionalFormatting sqref="AD16">
    <cfRule type="expression" dxfId="464" priority="83">
      <formula>$AD$3="FE"</formula>
    </cfRule>
  </conditionalFormatting>
  <conditionalFormatting sqref="AE16">
    <cfRule type="expression" dxfId="463" priority="84">
      <formula>$AE$3="FE"</formula>
    </cfRule>
  </conditionalFormatting>
  <conditionalFormatting sqref="AF16">
    <cfRule type="expression" dxfId="462" priority="85">
      <formula>$AF$3="FE"</formula>
    </cfRule>
  </conditionalFormatting>
  <conditionalFormatting sqref="E16">
    <cfRule type="expression" dxfId="461" priority="86">
      <formula>$E$3="FE"</formula>
    </cfRule>
  </conditionalFormatting>
  <conditionalFormatting sqref="Z6:Z8 J5 J8:J10">
    <cfRule type="containsText" dxfId="460" priority="23" operator="containsText" text="OT">
      <formula>NOT(ISERROR(SEARCH("OT",J5)))</formula>
    </cfRule>
    <cfRule type="containsText" dxfId="459" priority="24" operator="containsText" text="SD">
      <formula>NOT(ISERROR(SEARCH("SD",J5)))</formula>
    </cfRule>
    <cfRule type="containsText" dxfId="458" priority="25" operator="containsText" text="E3">
      <formula>NOT(ISERROR(SEARCH("E3",J5)))</formula>
    </cfRule>
    <cfRule type="containsText" dxfId="457" priority="26" operator="containsText" text="E2">
      <formula>NOT(ISERROR(SEARCH("E2",J5)))</formula>
    </cfRule>
    <cfRule type="containsText" dxfId="456" priority="27" operator="containsText" text="E1">
      <formula>NOT(ISERROR(SEARCH("E1",J5)))</formula>
    </cfRule>
    <cfRule type="containsText" dxfId="455" priority="28" operator="containsText" text="DO">
      <formula>NOT(ISERROR(SEARCH("DO",J5)))</formula>
    </cfRule>
    <cfRule type="containsText" dxfId="454" priority="29" operator="containsText" text="VA">
      <formula>NOT(ISERROR(SEARCH("VA",J5)))</formula>
    </cfRule>
    <cfRule type="containsText" dxfId="453" priority="30" operator="containsText" text="T1">
      <formula>NOT(ISERROR(SEARCH("T1",J5)))</formula>
    </cfRule>
    <cfRule type="containsText" dxfId="452" priority="31" operator="containsText" text="T2">
      <formula>NOT(ISERROR(SEARCH("T2",J5)))</formula>
    </cfRule>
    <cfRule type="containsText" dxfId="451" priority="32" operator="containsText" text="T3">
      <formula>NOT(ISERROR(SEARCH("T3",J5)))</formula>
    </cfRule>
  </conditionalFormatting>
  <conditionalFormatting sqref="M8:M9">
    <cfRule type="containsText" dxfId="450" priority="13" operator="containsText" text="OT">
      <formula>NOT(ISERROR(SEARCH("OT",M8)))</formula>
    </cfRule>
    <cfRule type="containsText" dxfId="449" priority="14" operator="containsText" text="SD">
      <formula>NOT(ISERROR(SEARCH("SD",M8)))</formula>
    </cfRule>
    <cfRule type="containsText" dxfId="448" priority="15" operator="containsText" text="E3">
      <formula>NOT(ISERROR(SEARCH("E3",M8)))</formula>
    </cfRule>
    <cfRule type="containsText" dxfId="447" priority="16" operator="containsText" text="E2">
      <formula>NOT(ISERROR(SEARCH("E2",M8)))</formula>
    </cfRule>
    <cfRule type="containsText" dxfId="446" priority="17" operator="containsText" text="E1">
      <formula>NOT(ISERROR(SEARCH("E1",M8)))</formula>
    </cfRule>
    <cfRule type="containsText" dxfId="445" priority="18" operator="containsText" text="DO">
      <formula>NOT(ISERROR(SEARCH("DO",M8)))</formula>
    </cfRule>
    <cfRule type="containsText" dxfId="444" priority="19" operator="containsText" text="VA">
      <formula>NOT(ISERROR(SEARCH("VA",M8)))</formula>
    </cfRule>
    <cfRule type="containsText" dxfId="443" priority="20" operator="containsText" text="T1">
      <formula>NOT(ISERROR(SEARCH("T1",M8)))</formula>
    </cfRule>
    <cfRule type="containsText" dxfId="442" priority="21" operator="containsText" text="T2">
      <formula>NOT(ISERROR(SEARCH("T2",M8)))</formula>
    </cfRule>
    <cfRule type="containsText" dxfId="441" priority="22" operator="containsText" text="T3">
      <formula>NOT(ISERROR(SEARCH("T3",M8)))</formula>
    </cfRule>
  </conditionalFormatting>
  <conditionalFormatting sqref="J6">
    <cfRule type="containsText" dxfId="440" priority="1" operator="containsText" text="HB">
      <formula>NOT(ISERROR(SEARCH("HB",J6)))</formula>
    </cfRule>
    <cfRule type="containsText" dxfId="439" priority="2" operator="containsText" text="OT">
      <formula>NOT(ISERROR(SEARCH("OT",J6)))</formula>
    </cfRule>
    <cfRule type="containsText" dxfId="438" priority="3" operator="containsText" text="SD">
      <formula>NOT(ISERROR(SEARCH("SD",J6)))</formula>
    </cfRule>
    <cfRule type="containsText" dxfId="437" priority="4" operator="containsText" text="E3">
      <formula>NOT(ISERROR(SEARCH("E3",J6)))</formula>
    </cfRule>
    <cfRule type="containsText" dxfId="436" priority="5" operator="containsText" text="E2">
      <formula>NOT(ISERROR(SEARCH("E2",J6)))</formula>
    </cfRule>
    <cfRule type="containsText" dxfId="435" priority="6" operator="containsText" text="E1">
      <formula>NOT(ISERROR(SEARCH("E1",J6)))</formula>
    </cfRule>
    <cfRule type="containsText" dxfId="434" priority="7" operator="containsText" text="DO">
      <formula>NOT(ISERROR(SEARCH("DO",J6)))</formula>
    </cfRule>
    <cfRule type="containsText" dxfId="433" priority="8" operator="containsText" text="VA">
      <formula>NOT(ISERROR(SEARCH("VA",J6)))</formula>
    </cfRule>
    <cfRule type="containsText" dxfId="432" priority="9" operator="containsText" text="T1">
      <formula>NOT(ISERROR(SEARCH("T1",J6)))</formula>
    </cfRule>
    <cfRule type="containsText" dxfId="431" priority="10" operator="containsText" text="T2">
      <formula>NOT(ISERROR(SEARCH("T2",J6)))</formula>
    </cfRule>
    <cfRule type="containsText" dxfId="430" priority="11" operator="containsText" text="T3">
      <formula>NOT(ISERROR(SEARCH("T3",J6)))</formula>
    </cfRule>
  </conditionalFormatting>
  <dataValidations count="1">
    <dataValidation type="list" allowBlank="1" showInputMessage="1" showErrorMessage="1" sqref="M5" xr:uid="{2ACE44F3-FF82-4C4E-A21C-C0BE6219CDCE}">
      <formula1>#REF!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59BC54F-BEDD-41A8-9E77-0C72AD2E4EAF}">
          <x14:formula1>
            <xm:f>Configuração!$N$7:$N$23</xm:f>
          </x14:formula1>
          <xm:sqref>AC6:AD8</xm:sqref>
        </x14:dataValidation>
        <x14:dataValidation type="list" allowBlank="1" showInputMessage="1" showErrorMessage="1" xr:uid="{89F3B640-33B1-4C85-B0CA-EB6F04910991}">
          <x14:formula1>
            <xm:f>Configuração!$N$7:$N$1048576</xm:f>
          </x14:formula1>
          <xm:sqref>P5:P9</xm:sqref>
        </x14:dataValidation>
        <x14:dataValidation type="list" allowBlank="1" showInputMessage="1" showErrorMessage="1" xr:uid="{26F70EE2-7DAF-4681-9544-2EB6712BBDDF}">
          <x14:formula1>
            <xm:f>Configuração!$U$7:$U$17</xm:f>
          </x14:formula1>
          <xm:sqref>J6</xm:sqref>
        </x14:dataValidation>
        <x14:dataValidation type="list" allowBlank="1" showInputMessage="1" showErrorMessage="1" xr:uid="{823C1977-7BC7-4803-9D89-0BD82128075B}">
          <x14:formula1>
            <xm:f>Configuração!$U$7:$U$16</xm:f>
          </x14:formula1>
          <xm:sqref>Z6:Z8 J8:J10 J5 M8:M9</xm:sqref>
        </x14:dataValidation>
        <x14:dataValidation type="list" allowBlank="1" showInputMessage="1" showErrorMessage="1" xr:uid="{D09FB505-6240-4903-9796-95411587C1AF}">
          <x14:formula1>
            <xm:f>Configuração!$L$7:$L$27</xm:f>
          </x14:formula1>
          <xm:sqref>S5:X9 A17:A24</xm:sqref>
        </x14:dataValidation>
        <x14:dataValidation type="list" allowBlank="1" showInputMessage="1" showErrorMessage="1" xr:uid="{13C962EE-2886-484A-8BD2-1446B5D10844}">
          <x14:formula1>
            <xm:f>Configuração!$Q$6:$Q$56</xm:f>
          </x14:formula1>
          <xm:sqref>D5:G5</xm:sqref>
        </x14:dataValidation>
        <x14:dataValidation type="list" allowBlank="1" showInputMessage="1" showErrorMessage="1" xr:uid="{D63F1119-7C10-4BAC-905D-A0A105C344B9}">
          <x14:formula1>
            <xm:f>Configuração!$U$7:$U$22</xm:f>
          </x14:formula1>
          <xm:sqref>B17:AF37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B3279-CE3B-4155-BE1C-151B8359437B}">
  <sheetPr codeName="Planilha11"/>
  <dimension ref="A1:AF40"/>
  <sheetViews>
    <sheetView zoomScale="90" zoomScaleNormal="90" workbookViewId="0">
      <selection activeCell="AG1" sqref="AG1"/>
    </sheetView>
  </sheetViews>
  <sheetFormatPr defaultRowHeight="14.4" x14ac:dyDescent="0.3"/>
  <cols>
    <col min="1" max="1" width="11.77734375" bestFit="1" customWidth="1"/>
    <col min="2" max="32" width="6.6640625" customWidth="1"/>
  </cols>
  <sheetData>
    <row r="1" spans="1:32" ht="31.2" x14ac:dyDescent="0.3">
      <c r="A1" s="12"/>
      <c r="B1" s="12"/>
      <c r="C1" s="12"/>
      <c r="D1" s="12"/>
      <c r="E1" s="13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 ht="78.75" customHeight="1" x14ac:dyDescent="0.3">
      <c r="A2" s="14"/>
      <c r="B2" s="14"/>
      <c r="C2" s="14"/>
      <c r="D2" s="14"/>
      <c r="E2" s="1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32" ht="15" hidden="1" thickBot="1" x14ac:dyDescent="0.35">
      <c r="A3" s="8" t="s">
        <v>13</v>
      </c>
      <c r="B3" s="9" t="str">
        <f>IF(MONTH(D5)=5,"FE",IF(MONTH(D5)=1,"FE",""))</f>
        <v/>
      </c>
      <c r="C3" s="10" t="str">
        <f>IF(MONTH(D5)=11,"FE","")</f>
        <v/>
      </c>
      <c r="D3" s="10"/>
      <c r="E3" s="10" t="str">
        <f>IF(MONTH(D5)=3,"FE","")</f>
        <v/>
      </c>
      <c r="F3" s="10"/>
      <c r="G3" s="10"/>
      <c r="H3" s="10" t="str">
        <f>IF(MONTH(D5)=9,"FE","")</f>
        <v/>
      </c>
      <c r="I3" s="10"/>
      <c r="J3" s="10"/>
      <c r="K3" s="10"/>
      <c r="L3" s="10"/>
      <c r="M3" s="10" t="str">
        <f>IF(MONTH(D5)=10,"FE","")</f>
        <v/>
      </c>
      <c r="N3" s="10"/>
      <c r="O3" s="10"/>
      <c r="P3" s="10" t="str">
        <f>IF(MONTH(D5)=11,"FE","")</f>
        <v/>
      </c>
      <c r="Q3" s="10"/>
      <c r="R3" s="10"/>
      <c r="S3" s="10"/>
      <c r="T3" s="10"/>
      <c r="U3" s="10" t="str">
        <f>IF(MONTH(D5)=11,"FE","")</f>
        <v/>
      </c>
      <c r="V3" s="10" t="str">
        <f>IF(MONTH(D5)=4,"FE","")</f>
        <v/>
      </c>
      <c r="W3" s="10"/>
      <c r="X3" s="10"/>
      <c r="Y3" s="10"/>
      <c r="Z3" s="10" t="str">
        <f>IF(MONTH(D5)=12,"FE",IF(MONTH(D5)=1,"FE",""))</f>
        <v/>
      </c>
      <c r="AA3" s="10"/>
      <c r="AB3" s="10"/>
      <c r="AC3" s="10"/>
      <c r="AD3" s="10"/>
      <c r="AE3" s="10" t="str">
        <f>IF(MONTH(D5)=5,"FE","")</f>
        <v/>
      </c>
      <c r="AF3" s="11"/>
    </row>
    <row r="4" spans="1:3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3">
      <c r="A5" s="1"/>
      <c r="B5" s="72" t="s">
        <v>14</v>
      </c>
      <c r="C5" s="72"/>
      <c r="D5" s="73">
        <v>46235</v>
      </c>
      <c r="E5" s="73"/>
      <c r="F5" s="73"/>
      <c r="G5" s="73"/>
      <c r="H5" s="81" t="s">
        <v>68</v>
      </c>
      <c r="I5" s="82"/>
      <c r="J5" s="17" t="s">
        <v>67</v>
      </c>
      <c r="K5" s="1"/>
      <c r="L5" s="1"/>
      <c r="M5" s="76" t="s">
        <v>3</v>
      </c>
      <c r="N5" s="77" t="s">
        <v>17</v>
      </c>
      <c r="O5" s="77"/>
      <c r="P5" s="75" t="s">
        <v>83</v>
      </c>
      <c r="Q5" s="75"/>
      <c r="R5" s="75"/>
      <c r="S5" s="75" t="s">
        <v>7</v>
      </c>
      <c r="T5" s="75"/>
      <c r="U5" s="75"/>
      <c r="V5" s="75" t="s">
        <v>80</v>
      </c>
      <c r="W5" s="75"/>
      <c r="X5" s="75"/>
      <c r="Y5" s="1"/>
      <c r="Z5" s="80" t="s">
        <v>18</v>
      </c>
      <c r="AA5" s="80"/>
      <c r="AB5" s="80"/>
      <c r="AC5" s="80"/>
      <c r="AD5" s="80"/>
      <c r="AE5" s="1"/>
      <c r="AF5" s="1"/>
    </row>
    <row r="6" spans="1:32" x14ac:dyDescent="0.3">
      <c r="A6" s="1"/>
      <c r="B6" s="72" t="s">
        <v>19</v>
      </c>
      <c r="C6" s="72"/>
      <c r="D6" s="74">
        <f>EOMONTH(D5,0)</f>
        <v>46265</v>
      </c>
      <c r="E6" s="74"/>
      <c r="F6" s="74"/>
      <c r="G6" s="74"/>
      <c r="H6" s="81" t="s">
        <v>82</v>
      </c>
      <c r="I6" s="82"/>
      <c r="J6" s="18" t="s">
        <v>81</v>
      </c>
      <c r="K6" s="1"/>
      <c r="L6" s="1"/>
      <c r="M6" s="76"/>
      <c r="N6" s="77"/>
      <c r="O6" s="77"/>
      <c r="P6" s="75" t="s">
        <v>94</v>
      </c>
      <c r="Q6" s="75"/>
      <c r="R6" s="75"/>
      <c r="S6" s="75" t="s">
        <v>6</v>
      </c>
      <c r="T6" s="75"/>
      <c r="U6" s="75"/>
      <c r="V6" s="75"/>
      <c r="W6" s="75"/>
      <c r="X6" s="75"/>
      <c r="Y6" s="1"/>
      <c r="Z6" s="19" t="s">
        <v>22</v>
      </c>
      <c r="AA6" s="77" t="s">
        <v>23</v>
      </c>
      <c r="AB6" s="77"/>
      <c r="AC6" s="75" t="s">
        <v>83</v>
      </c>
      <c r="AD6" s="75"/>
      <c r="AE6" s="1"/>
      <c r="AF6" s="1"/>
    </row>
    <row r="7" spans="1:32" x14ac:dyDescent="0.3">
      <c r="A7" s="1"/>
      <c r="B7" s="72" t="s">
        <v>24</v>
      </c>
      <c r="C7" s="72"/>
      <c r="D7" s="75">
        <f>DAY(D6)</f>
        <v>31</v>
      </c>
      <c r="E7" s="75"/>
      <c r="F7" s="75"/>
      <c r="G7" s="75"/>
      <c r="H7" s="78" t="s">
        <v>25</v>
      </c>
      <c r="I7" s="79"/>
      <c r="J7" s="19" t="s">
        <v>26</v>
      </c>
      <c r="K7" s="1"/>
      <c r="L7" s="1"/>
      <c r="M7" s="76"/>
      <c r="N7" s="77"/>
      <c r="O7" s="77"/>
      <c r="P7" s="75" t="s">
        <v>27</v>
      </c>
      <c r="Q7" s="75"/>
      <c r="R7" s="75"/>
      <c r="S7" s="75" t="s">
        <v>73</v>
      </c>
      <c r="T7" s="75"/>
      <c r="U7" s="75"/>
      <c r="V7" s="75"/>
      <c r="W7" s="75"/>
      <c r="X7" s="75"/>
      <c r="Y7" s="1"/>
      <c r="Z7" s="19" t="s">
        <v>28</v>
      </c>
      <c r="AA7" s="77" t="s">
        <v>29</v>
      </c>
      <c r="AB7" s="77"/>
      <c r="AC7" s="75" t="s">
        <v>30</v>
      </c>
      <c r="AD7" s="75"/>
      <c r="AE7" s="1"/>
      <c r="AF7" s="1"/>
    </row>
    <row r="8" spans="1:32" x14ac:dyDescent="0.3">
      <c r="A8" s="1"/>
      <c r="B8" s="1"/>
      <c r="C8" s="1"/>
      <c r="D8" s="1"/>
      <c r="E8" s="1"/>
      <c r="F8" s="1"/>
      <c r="G8" s="1"/>
      <c r="H8" s="78" t="s">
        <v>15</v>
      </c>
      <c r="I8" s="79"/>
      <c r="J8" s="19" t="s">
        <v>16</v>
      </c>
      <c r="K8" s="1"/>
      <c r="L8" s="1"/>
      <c r="M8" s="19" t="s">
        <v>8</v>
      </c>
      <c r="N8" s="77" t="s">
        <v>29</v>
      </c>
      <c r="O8" s="77"/>
      <c r="P8" s="75" t="s">
        <v>30</v>
      </c>
      <c r="Q8" s="75"/>
      <c r="R8" s="75"/>
      <c r="S8" s="75" t="s">
        <v>9</v>
      </c>
      <c r="T8" s="75"/>
      <c r="U8" s="75"/>
      <c r="V8" s="75" t="s">
        <v>74</v>
      </c>
      <c r="W8" s="75"/>
      <c r="X8" s="75"/>
      <c r="Y8" s="1"/>
      <c r="Z8" s="19" t="s">
        <v>31</v>
      </c>
      <c r="AA8" s="77" t="s">
        <v>32</v>
      </c>
      <c r="AB8" s="77"/>
      <c r="AC8" s="75" t="s">
        <v>84</v>
      </c>
      <c r="AD8" s="75"/>
      <c r="AE8" s="1"/>
      <c r="AF8" s="1"/>
    </row>
    <row r="9" spans="1:32" x14ac:dyDescent="0.3">
      <c r="A9" s="1"/>
      <c r="B9" s="1"/>
      <c r="C9" s="1"/>
      <c r="D9" s="1"/>
      <c r="E9" s="1"/>
      <c r="F9" s="1"/>
      <c r="G9" s="1"/>
      <c r="H9" s="78" t="s">
        <v>20</v>
      </c>
      <c r="I9" s="79"/>
      <c r="J9" s="19" t="s">
        <v>21</v>
      </c>
      <c r="K9" s="1"/>
      <c r="L9" s="1"/>
      <c r="M9" s="19" t="s">
        <v>11</v>
      </c>
      <c r="N9" s="77" t="s">
        <v>33</v>
      </c>
      <c r="O9" s="77"/>
      <c r="P9" s="75" t="s">
        <v>84</v>
      </c>
      <c r="Q9" s="75"/>
      <c r="R9" s="75"/>
      <c r="S9" s="75" t="s">
        <v>10</v>
      </c>
      <c r="T9" s="75"/>
      <c r="U9" s="75"/>
      <c r="V9" s="75" t="s">
        <v>12</v>
      </c>
      <c r="W9" s="75"/>
      <c r="X9" s="75"/>
      <c r="Y9" s="1"/>
      <c r="Z9" s="1"/>
      <c r="AA9" s="1"/>
      <c r="AB9" s="1"/>
      <c r="AC9" s="1"/>
      <c r="AD9" s="1"/>
      <c r="AE9" s="1"/>
      <c r="AF9" s="1"/>
    </row>
    <row r="10" spans="1:32" x14ac:dyDescent="0.3">
      <c r="A10" s="1"/>
      <c r="B10" s="1"/>
      <c r="C10" s="1"/>
      <c r="D10" s="1"/>
      <c r="E10" s="1"/>
      <c r="F10" s="1"/>
      <c r="G10" s="1"/>
      <c r="H10" s="81" t="s">
        <v>70</v>
      </c>
      <c r="I10" s="82"/>
      <c r="J10" s="19" t="s">
        <v>69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22.8" x14ac:dyDescent="0.3">
      <c r="A14" s="69" t="s">
        <v>0</v>
      </c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1"/>
    </row>
    <row r="15" spans="1:32" x14ac:dyDescent="0.3">
      <c r="A15" s="114" t="s">
        <v>1</v>
      </c>
      <c r="B15" s="20" t="str">
        <f>UPPER(TEXT(B16,"[$]ddd"))</f>
        <v>SÁB</v>
      </c>
      <c r="C15" s="20" t="str">
        <f t="shared" ref="C15:AF15" si="0">UPPER(TEXT(C16,"[$]ddd"))</f>
        <v>DOM</v>
      </c>
      <c r="D15" s="20" t="str">
        <f t="shared" si="0"/>
        <v>SEG</v>
      </c>
      <c r="E15" s="20" t="str">
        <f t="shared" si="0"/>
        <v>TER</v>
      </c>
      <c r="F15" s="20" t="str">
        <f t="shared" si="0"/>
        <v>QUA</v>
      </c>
      <c r="G15" s="20" t="str">
        <f t="shared" si="0"/>
        <v>QUI</v>
      </c>
      <c r="H15" s="20" t="str">
        <f t="shared" si="0"/>
        <v>SEX</v>
      </c>
      <c r="I15" s="20" t="str">
        <f t="shared" si="0"/>
        <v>SÁB</v>
      </c>
      <c r="J15" s="20" t="str">
        <f t="shared" si="0"/>
        <v>DOM</v>
      </c>
      <c r="K15" s="20" t="str">
        <f t="shared" si="0"/>
        <v>SEG</v>
      </c>
      <c r="L15" s="20" t="str">
        <f t="shared" si="0"/>
        <v>TER</v>
      </c>
      <c r="M15" s="20" t="str">
        <f t="shared" si="0"/>
        <v>QUA</v>
      </c>
      <c r="N15" s="20" t="str">
        <f t="shared" si="0"/>
        <v>QUI</v>
      </c>
      <c r="O15" s="20" t="str">
        <f t="shared" si="0"/>
        <v>SEX</v>
      </c>
      <c r="P15" s="20" t="str">
        <f t="shared" si="0"/>
        <v>SÁB</v>
      </c>
      <c r="Q15" s="20" t="str">
        <f t="shared" si="0"/>
        <v>DOM</v>
      </c>
      <c r="R15" s="20" t="str">
        <f t="shared" si="0"/>
        <v>SEG</v>
      </c>
      <c r="S15" s="20" t="str">
        <f t="shared" si="0"/>
        <v>TER</v>
      </c>
      <c r="T15" s="20" t="str">
        <f t="shared" si="0"/>
        <v>QUA</v>
      </c>
      <c r="U15" s="20" t="str">
        <f t="shared" si="0"/>
        <v>QUI</v>
      </c>
      <c r="V15" s="20" t="str">
        <f t="shared" si="0"/>
        <v>SEX</v>
      </c>
      <c r="W15" s="20" t="str">
        <f t="shared" si="0"/>
        <v>SÁB</v>
      </c>
      <c r="X15" s="20" t="str">
        <f t="shared" si="0"/>
        <v>DOM</v>
      </c>
      <c r="Y15" s="20" t="str">
        <f t="shared" si="0"/>
        <v>SEG</v>
      </c>
      <c r="Z15" s="20" t="str">
        <f t="shared" si="0"/>
        <v>TER</v>
      </c>
      <c r="AA15" s="20" t="str">
        <f t="shared" si="0"/>
        <v>QUA</v>
      </c>
      <c r="AB15" s="20" t="str">
        <f t="shared" si="0"/>
        <v>QUI</v>
      </c>
      <c r="AC15" s="20" t="str">
        <f t="shared" si="0"/>
        <v>SEX</v>
      </c>
      <c r="AD15" s="20" t="str">
        <f t="shared" si="0"/>
        <v>SÁB</v>
      </c>
      <c r="AE15" s="20" t="str">
        <f t="shared" si="0"/>
        <v>DOM</v>
      </c>
      <c r="AF15" s="21" t="str">
        <f t="shared" si="0"/>
        <v>SEG</v>
      </c>
    </row>
    <row r="16" spans="1:32" x14ac:dyDescent="0.3">
      <c r="A16" s="115"/>
      <c r="B16" s="22">
        <f>D5</f>
        <v>46235</v>
      </c>
      <c r="C16" s="23">
        <f>B16+1</f>
        <v>46236</v>
      </c>
      <c r="D16" s="23">
        <f t="shared" ref="D16:AF16" si="1">C16+1</f>
        <v>46237</v>
      </c>
      <c r="E16" s="23">
        <f t="shared" si="1"/>
        <v>46238</v>
      </c>
      <c r="F16" s="23">
        <f t="shared" si="1"/>
        <v>46239</v>
      </c>
      <c r="G16" s="23">
        <f t="shared" si="1"/>
        <v>46240</v>
      </c>
      <c r="H16" s="23">
        <f t="shared" si="1"/>
        <v>46241</v>
      </c>
      <c r="I16" s="23">
        <f t="shared" si="1"/>
        <v>46242</v>
      </c>
      <c r="J16" s="23">
        <f t="shared" si="1"/>
        <v>46243</v>
      </c>
      <c r="K16" s="23">
        <f t="shared" si="1"/>
        <v>46244</v>
      </c>
      <c r="L16" s="23">
        <f t="shared" si="1"/>
        <v>46245</v>
      </c>
      <c r="M16" s="23">
        <f t="shared" si="1"/>
        <v>46246</v>
      </c>
      <c r="N16" s="23">
        <f t="shared" si="1"/>
        <v>46247</v>
      </c>
      <c r="O16" s="23">
        <f t="shared" si="1"/>
        <v>46248</v>
      </c>
      <c r="P16" s="23">
        <f t="shared" si="1"/>
        <v>46249</v>
      </c>
      <c r="Q16" s="23">
        <f t="shared" si="1"/>
        <v>46250</v>
      </c>
      <c r="R16" s="23">
        <f t="shared" si="1"/>
        <v>46251</v>
      </c>
      <c r="S16" s="23">
        <f t="shared" si="1"/>
        <v>46252</v>
      </c>
      <c r="T16" s="23">
        <f t="shared" si="1"/>
        <v>46253</v>
      </c>
      <c r="U16" s="23">
        <f t="shared" si="1"/>
        <v>46254</v>
      </c>
      <c r="V16" s="23">
        <f t="shared" si="1"/>
        <v>46255</v>
      </c>
      <c r="W16" s="23">
        <f t="shared" si="1"/>
        <v>46256</v>
      </c>
      <c r="X16" s="23">
        <f t="shared" si="1"/>
        <v>46257</v>
      </c>
      <c r="Y16" s="23">
        <f t="shared" si="1"/>
        <v>46258</v>
      </c>
      <c r="Z16" s="23">
        <f t="shared" si="1"/>
        <v>46259</v>
      </c>
      <c r="AA16" s="23">
        <f t="shared" si="1"/>
        <v>46260</v>
      </c>
      <c r="AB16" s="23">
        <f t="shared" si="1"/>
        <v>46261</v>
      </c>
      <c r="AC16" s="23">
        <f t="shared" si="1"/>
        <v>46262</v>
      </c>
      <c r="AD16" s="23">
        <f t="shared" si="1"/>
        <v>46263</v>
      </c>
      <c r="AE16" s="23">
        <f t="shared" si="1"/>
        <v>46264</v>
      </c>
      <c r="AF16" s="24">
        <f t="shared" si="1"/>
        <v>46265</v>
      </c>
    </row>
    <row r="17" spans="1:32" x14ac:dyDescent="0.3">
      <c r="A17" s="25" t="s">
        <v>7</v>
      </c>
      <c r="B17" s="19"/>
      <c r="C17" s="19"/>
      <c r="D17" s="19" t="s">
        <v>3</v>
      </c>
      <c r="E17" s="19" t="s">
        <v>3</v>
      </c>
      <c r="F17" s="19" t="s">
        <v>3</v>
      </c>
      <c r="G17" s="19" t="s">
        <v>3</v>
      </c>
      <c r="H17" s="19" t="s">
        <v>3</v>
      </c>
      <c r="I17" s="19"/>
      <c r="J17" s="19"/>
      <c r="K17" s="19" t="s">
        <v>3</v>
      </c>
      <c r="L17" s="19" t="s">
        <v>3</v>
      </c>
      <c r="M17" s="19" t="s">
        <v>3</v>
      </c>
      <c r="N17" s="19" t="s">
        <v>3</v>
      </c>
      <c r="O17" s="19" t="s">
        <v>3</v>
      </c>
      <c r="P17" s="19"/>
      <c r="Q17" s="19"/>
      <c r="R17" s="19" t="s">
        <v>3</v>
      </c>
      <c r="S17" s="19" t="s">
        <v>3</v>
      </c>
      <c r="T17" s="19" t="s">
        <v>3</v>
      </c>
      <c r="U17" s="19" t="s">
        <v>3</v>
      </c>
      <c r="V17" s="19" t="s">
        <v>3</v>
      </c>
      <c r="W17" s="19"/>
      <c r="X17" s="19"/>
      <c r="Y17" s="19" t="s">
        <v>3</v>
      </c>
      <c r="Z17" s="19" t="s">
        <v>3</v>
      </c>
      <c r="AA17" s="19" t="s">
        <v>3</v>
      </c>
      <c r="AB17" s="19" t="s">
        <v>3</v>
      </c>
      <c r="AC17" s="19" t="s">
        <v>3</v>
      </c>
      <c r="AD17" s="19"/>
      <c r="AE17" s="19"/>
      <c r="AF17" s="26" t="s">
        <v>3</v>
      </c>
    </row>
    <row r="18" spans="1:32" x14ac:dyDescent="0.3">
      <c r="A18" s="25" t="s">
        <v>80</v>
      </c>
      <c r="B18" s="19"/>
      <c r="C18" s="19"/>
      <c r="D18" s="19" t="s">
        <v>3</v>
      </c>
      <c r="E18" s="19" t="s">
        <v>3</v>
      </c>
      <c r="F18" s="19" t="s">
        <v>3</v>
      </c>
      <c r="G18" s="19" t="s">
        <v>3</v>
      </c>
      <c r="H18" s="19" t="s">
        <v>3</v>
      </c>
      <c r="I18" s="19"/>
      <c r="J18" s="19"/>
      <c r="K18" s="19" t="s">
        <v>3</v>
      </c>
      <c r="L18" s="19" t="s">
        <v>3</v>
      </c>
      <c r="M18" s="19" t="s">
        <v>3</v>
      </c>
      <c r="N18" s="19" t="s">
        <v>3</v>
      </c>
      <c r="O18" s="19" t="s">
        <v>3</v>
      </c>
      <c r="P18" s="19"/>
      <c r="Q18" s="19"/>
      <c r="R18" s="19" t="s">
        <v>3</v>
      </c>
      <c r="S18" s="19" t="s">
        <v>3</v>
      </c>
      <c r="T18" s="19" t="s">
        <v>3</v>
      </c>
      <c r="U18" s="19" t="s">
        <v>3</v>
      </c>
      <c r="V18" s="19" t="s">
        <v>3</v>
      </c>
      <c r="W18" s="19"/>
      <c r="X18" s="19"/>
      <c r="Y18" s="19" t="s">
        <v>3</v>
      </c>
      <c r="Z18" s="19" t="s">
        <v>3</v>
      </c>
      <c r="AA18" s="19" t="s">
        <v>3</v>
      </c>
      <c r="AB18" s="19" t="s">
        <v>3</v>
      </c>
      <c r="AC18" s="19" t="s">
        <v>3</v>
      </c>
      <c r="AD18" s="19"/>
      <c r="AE18" s="19"/>
      <c r="AF18" s="26" t="s">
        <v>3</v>
      </c>
    </row>
    <row r="19" spans="1:32" x14ac:dyDescent="0.3">
      <c r="A19" s="25" t="s">
        <v>6</v>
      </c>
      <c r="B19" s="19"/>
      <c r="C19" s="19"/>
      <c r="D19" s="19" t="s">
        <v>3</v>
      </c>
      <c r="E19" s="19" t="s">
        <v>3</v>
      </c>
      <c r="F19" s="19" t="s">
        <v>3</v>
      </c>
      <c r="G19" s="19" t="s">
        <v>3</v>
      </c>
      <c r="H19" s="19" t="s">
        <v>3</v>
      </c>
      <c r="I19" s="19"/>
      <c r="J19" s="19"/>
      <c r="K19" s="19" t="s">
        <v>3</v>
      </c>
      <c r="L19" s="19" t="s">
        <v>3</v>
      </c>
      <c r="M19" s="19" t="s">
        <v>3</v>
      </c>
      <c r="N19" s="19" t="s">
        <v>3</v>
      </c>
      <c r="O19" s="19" t="s">
        <v>3</v>
      </c>
      <c r="P19" s="19"/>
      <c r="Q19" s="19"/>
      <c r="R19" s="19" t="s">
        <v>3</v>
      </c>
      <c r="S19" s="19" t="s">
        <v>3</v>
      </c>
      <c r="T19" s="19" t="s">
        <v>3</v>
      </c>
      <c r="U19" s="19" t="s">
        <v>3</v>
      </c>
      <c r="V19" s="19" t="s">
        <v>3</v>
      </c>
      <c r="W19" s="19"/>
      <c r="X19" s="19"/>
      <c r="Y19" s="19" t="s">
        <v>3</v>
      </c>
      <c r="Z19" s="19" t="s">
        <v>3</v>
      </c>
      <c r="AA19" s="19" t="s">
        <v>3</v>
      </c>
      <c r="AB19" s="19" t="s">
        <v>3</v>
      </c>
      <c r="AC19" s="19" t="s">
        <v>3</v>
      </c>
      <c r="AD19" s="19"/>
      <c r="AE19" s="19"/>
      <c r="AF19" s="26" t="s">
        <v>3</v>
      </c>
    </row>
    <row r="20" spans="1:32" x14ac:dyDescent="0.3">
      <c r="A20" s="25" t="s">
        <v>73</v>
      </c>
      <c r="B20" s="19"/>
      <c r="C20" s="19"/>
      <c r="D20" s="19" t="s">
        <v>3</v>
      </c>
      <c r="E20" s="19" t="s">
        <v>3</v>
      </c>
      <c r="F20" s="19" t="s">
        <v>3</v>
      </c>
      <c r="G20" s="19" t="s">
        <v>3</v>
      </c>
      <c r="H20" s="19" t="s">
        <v>3</v>
      </c>
      <c r="I20" s="19"/>
      <c r="J20" s="19"/>
      <c r="K20" s="19" t="s">
        <v>3</v>
      </c>
      <c r="L20" s="19" t="s">
        <v>3</v>
      </c>
      <c r="M20" s="19" t="s">
        <v>3</v>
      </c>
      <c r="N20" s="19" t="s">
        <v>3</v>
      </c>
      <c r="O20" s="19" t="s">
        <v>3</v>
      </c>
      <c r="P20" s="19"/>
      <c r="Q20" s="19"/>
      <c r="R20" s="19" t="s">
        <v>3</v>
      </c>
      <c r="S20" s="19" t="s">
        <v>3</v>
      </c>
      <c r="T20" s="19" t="s">
        <v>3</v>
      </c>
      <c r="U20" s="19" t="s">
        <v>3</v>
      </c>
      <c r="V20" s="19" t="s">
        <v>3</v>
      </c>
      <c r="W20" s="19"/>
      <c r="X20" s="19"/>
      <c r="Y20" s="19" t="s">
        <v>3</v>
      </c>
      <c r="Z20" s="19" t="s">
        <v>3</v>
      </c>
      <c r="AA20" s="19" t="s">
        <v>3</v>
      </c>
      <c r="AB20" s="19" t="s">
        <v>3</v>
      </c>
      <c r="AC20" s="19" t="s">
        <v>3</v>
      </c>
      <c r="AD20" s="19"/>
      <c r="AE20" s="19"/>
      <c r="AF20" s="26" t="s">
        <v>3</v>
      </c>
    </row>
    <row r="21" spans="1:32" x14ac:dyDescent="0.3">
      <c r="A21" s="25" t="s">
        <v>9</v>
      </c>
      <c r="B21" s="19"/>
      <c r="C21" s="19"/>
      <c r="D21" s="19" t="s">
        <v>8</v>
      </c>
      <c r="E21" s="19" t="s">
        <v>8</v>
      </c>
      <c r="F21" s="19" t="s">
        <v>8</v>
      </c>
      <c r="G21" s="19" t="s">
        <v>8</v>
      </c>
      <c r="H21" s="19" t="s">
        <v>8</v>
      </c>
      <c r="I21" s="19"/>
      <c r="J21" s="19"/>
      <c r="K21" s="19" t="s">
        <v>8</v>
      </c>
      <c r="L21" s="19" t="s">
        <v>8</v>
      </c>
      <c r="M21" s="19" t="s">
        <v>8</v>
      </c>
      <c r="N21" s="19" t="s">
        <v>8</v>
      </c>
      <c r="O21" s="19" t="s">
        <v>8</v>
      </c>
      <c r="P21" s="19"/>
      <c r="Q21" s="19"/>
      <c r="R21" s="19" t="s">
        <v>8</v>
      </c>
      <c r="S21" s="19" t="s">
        <v>8</v>
      </c>
      <c r="T21" s="19" t="s">
        <v>8</v>
      </c>
      <c r="U21" s="19" t="s">
        <v>8</v>
      </c>
      <c r="V21" s="19" t="s">
        <v>8</v>
      </c>
      <c r="W21" s="19"/>
      <c r="X21" s="19"/>
      <c r="Y21" s="19" t="s">
        <v>8</v>
      </c>
      <c r="Z21" s="19" t="s">
        <v>8</v>
      </c>
      <c r="AA21" s="19" t="s">
        <v>8</v>
      </c>
      <c r="AB21" s="19" t="s">
        <v>8</v>
      </c>
      <c r="AC21" s="19" t="s">
        <v>8</v>
      </c>
      <c r="AD21" s="19"/>
      <c r="AE21" s="19"/>
      <c r="AF21" s="26" t="s">
        <v>8</v>
      </c>
    </row>
    <row r="22" spans="1:32" x14ac:dyDescent="0.3">
      <c r="A22" s="25" t="s">
        <v>74</v>
      </c>
      <c r="B22" s="19"/>
      <c r="C22" s="19"/>
      <c r="D22" s="19" t="s">
        <v>8</v>
      </c>
      <c r="E22" s="19" t="s">
        <v>8</v>
      </c>
      <c r="F22" s="19" t="s">
        <v>8</v>
      </c>
      <c r="G22" s="19" t="s">
        <v>8</v>
      </c>
      <c r="H22" s="19" t="s">
        <v>8</v>
      </c>
      <c r="I22" s="19"/>
      <c r="J22" s="19"/>
      <c r="K22" s="19" t="s">
        <v>8</v>
      </c>
      <c r="L22" s="19" t="s">
        <v>8</v>
      </c>
      <c r="M22" s="19" t="s">
        <v>8</v>
      </c>
      <c r="N22" s="19" t="s">
        <v>8</v>
      </c>
      <c r="O22" s="19" t="s">
        <v>8</v>
      </c>
      <c r="P22" s="19"/>
      <c r="Q22" s="19"/>
      <c r="R22" s="19" t="s">
        <v>8</v>
      </c>
      <c r="S22" s="19" t="s">
        <v>8</v>
      </c>
      <c r="T22" s="19" t="s">
        <v>8</v>
      </c>
      <c r="U22" s="19" t="s">
        <v>8</v>
      </c>
      <c r="V22" s="19" t="s">
        <v>8</v>
      </c>
      <c r="W22" s="19"/>
      <c r="X22" s="19"/>
      <c r="Y22" s="19" t="s">
        <v>8</v>
      </c>
      <c r="Z22" s="19" t="s">
        <v>8</v>
      </c>
      <c r="AA22" s="19" t="s">
        <v>8</v>
      </c>
      <c r="AB22" s="19" t="s">
        <v>8</v>
      </c>
      <c r="AC22" s="19" t="s">
        <v>8</v>
      </c>
      <c r="AD22" s="19"/>
      <c r="AE22" s="19"/>
      <c r="AF22" s="26" t="s">
        <v>8</v>
      </c>
    </row>
    <row r="23" spans="1:32" x14ac:dyDescent="0.3">
      <c r="A23" s="25" t="s">
        <v>10</v>
      </c>
      <c r="B23" s="19"/>
      <c r="C23" s="19"/>
      <c r="D23" s="19" t="s">
        <v>11</v>
      </c>
      <c r="E23" s="19" t="s">
        <v>11</v>
      </c>
      <c r="F23" s="19" t="s">
        <v>11</v>
      </c>
      <c r="G23" s="19" t="s">
        <v>11</v>
      </c>
      <c r="H23" s="19" t="s">
        <v>11</v>
      </c>
      <c r="I23" s="19"/>
      <c r="J23" s="19"/>
      <c r="K23" s="19" t="s">
        <v>11</v>
      </c>
      <c r="L23" s="19" t="s">
        <v>11</v>
      </c>
      <c r="M23" s="19" t="s">
        <v>11</v>
      </c>
      <c r="N23" s="19" t="s">
        <v>11</v>
      </c>
      <c r="O23" s="19" t="s">
        <v>11</v>
      </c>
      <c r="P23" s="19"/>
      <c r="Q23" s="19"/>
      <c r="R23" s="19" t="s">
        <v>11</v>
      </c>
      <c r="S23" s="19" t="s">
        <v>11</v>
      </c>
      <c r="T23" s="19" t="s">
        <v>11</v>
      </c>
      <c r="U23" s="19" t="s">
        <v>11</v>
      </c>
      <c r="V23" s="19" t="s">
        <v>11</v>
      </c>
      <c r="W23" s="19"/>
      <c r="X23" s="19"/>
      <c r="Y23" s="19" t="s">
        <v>11</v>
      </c>
      <c r="Z23" s="19" t="s">
        <v>11</v>
      </c>
      <c r="AA23" s="19" t="s">
        <v>11</v>
      </c>
      <c r="AB23" s="19" t="s">
        <v>11</v>
      </c>
      <c r="AC23" s="19" t="s">
        <v>11</v>
      </c>
      <c r="AD23" s="19"/>
      <c r="AE23" s="19"/>
      <c r="AF23" s="26" t="s">
        <v>11</v>
      </c>
    </row>
    <row r="24" spans="1:32" ht="15" thickBot="1" x14ac:dyDescent="0.35">
      <c r="A24" s="27" t="s">
        <v>12</v>
      </c>
      <c r="B24" s="28"/>
      <c r="C24" s="28"/>
      <c r="D24" s="28" t="s">
        <v>11</v>
      </c>
      <c r="E24" s="28" t="s">
        <v>11</v>
      </c>
      <c r="F24" s="28" t="s">
        <v>11</v>
      </c>
      <c r="G24" s="28" t="s">
        <v>11</v>
      </c>
      <c r="H24" s="28" t="s">
        <v>11</v>
      </c>
      <c r="I24" s="28"/>
      <c r="J24" s="28"/>
      <c r="K24" s="28" t="s">
        <v>11</v>
      </c>
      <c r="L24" s="28" t="s">
        <v>11</v>
      </c>
      <c r="M24" s="28" t="s">
        <v>11</v>
      </c>
      <c r="N24" s="28" t="s">
        <v>11</v>
      </c>
      <c r="O24" s="28" t="s">
        <v>11</v>
      </c>
      <c r="P24" s="28"/>
      <c r="Q24" s="28"/>
      <c r="R24" s="28" t="s">
        <v>11</v>
      </c>
      <c r="S24" s="28" t="s">
        <v>11</v>
      </c>
      <c r="T24" s="28" t="s">
        <v>11</v>
      </c>
      <c r="U24" s="28" t="s">
        <v>11</v>
      </c>
      <c r="V24" s="28" t="s">
        <v>11</v>
      </c>
      <c r="W24" s="28"/>
      <c r="X24" s="28"/>
      <c r="Y24" s="28" t="s">
        <v>11</v>
      </c>
      <c r="Z24" s="28" t="s">
        <v>11</v>
      </c>
      <c r="AA24" s="28" t="s">
        <v>11</v>
      </c>
      <c r="AB24" s="28" t="s">
        <v>11</v>
      </c>
      <c r="AC24" s="28" t="s">
        <v>11</v>
      </c>
      <c r="AD24" s="28"/>
      <c r="AE24" s="28"/>
      <c r="AF24" s="29" t="s">
        <v>11</v>
      </c>
    </row>
    <row r="25" spans="1:3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</sheetData>
  <mergeCells count="40">
    <mergeCell ref="S5:U5"/>
    <mergeCell ref="V5:X5"/>
    <mergeCell ref="Z5:AD5"/>
    <mergeCell ref="B6:C6"/>
    <mergeCell ref="D6:G6"/>
    <mergeCell ref="H6:I6"/>
    <mergeCell ref="P6:R6"/>
    <mergeCell ref="S6:U6"/>
    <mergeCell ref="V6:X6"/>
    <mergeCell ref="AA6:AB6"/>
    <mergeCell ref="B5:C5"/>
    <mergeCell ref="D5:G5"/>
    <mergeCell ref="H5:I5"/>
    <mergeCell ref="M5:M7"/>
    <mergeCell ref="N5:O7"/>
    <mergeCell ref="P5:R5"/>
    <mergeCell ref="AC6:AD6"/>
    <mergeCell ref="B7:C7"/>
    <mergeCell ref="D7:G7"/>
    <mergeCell ref="H7:I7"/>
    <mergeCell ref="P7:R7"/>
    <mergeCell ref="S7:U7"/>
    <mergeCell ref="V7:X7"/>
    <mergeCell ref="AA7:AB7"/>
    <mergeCell ref="AC7:AD7"/>
    <mergeCell ref="A15:A16"/>
    <mergeCell ref="H10:I10"/>
    <mergeCell ref="A14:AF14"/>
    <mergeCell ref="AC8:AD8"/>
    <mergeCell ref="H9:I9"/>
    <mergeCell ref="N9:O9"/>
    <mergeCell ref="P9:R9"/>
    <mergeCell ref="S9:U9"/>
    <mergeCell ref="V9:X9"/>
    <mergeCell ref="H8:I8"/>
    <mergeCell ref="N8:O8"/>
    <mergeCell ref="P8:R8"/>
    <mergeCell ref="S8:U8"/>
    <mergeCell ref="V8:X8"/>
    <mergeCell ref="AA8:AB8"/>
  </mergeCells>
  <conditionalFormatting sqref="B3:AF3">
    <cfRule type="containsText" dxfId="429" priority="49" operator="containsText" text="FE">
      <formula>NOT(ISERROR(SEARCH("FE",B3)))</formula>
    </cfRule>
  </conditionalFormatting>
  <conditionalFormatting sqref="B17:AF24">
    <cfRule type="containsText" dxfId="428" priority="12" operator="containsText" text="HB">
      <formula>NOT(ISERROR(SEARCH("HB",B17)))</formula>
    </cfRule>
    <cfRule type="containsText" dxfId="427" priority="33" operator="containsText" text="OT">
      <formula>NOT(ISERROR(SEARCH("OT",B17)))</formula>
    </cfRule>
    <cfRule type="containsText" dxfId="426" priority="34" operator="containsText" text="SD">
      <formula>NOT(ISERROR(SEARCH("SD",B17)))</formula>
    </cfRule>
    <cfRule type="containsText" dxfId="425" priority="35" operator="containsText" text="E3">
      <formula>NOT(ISERROR(SEARCH("E3",B17)))</formula>
    </cfRule>
    <cfRule type="containsText" dxfId="424" priority="36" operator="containsText" text="E2">
      <formula>NOT(ISERROR(SEARCH("E2",B17)))</formula>
    </cfRule>
    <cfRule type="containsText" dxfId="423" priority="37" operator="containsText" text="E1">
      <formula>NOT(ISERROR(SEARCH("E1",B17)))</formula>
    </cfRule>
    <cfRule type="containsText" dxfId="422" priority="44" operator="containsText" text="DO">
      <formula>NOT(ISERROR(SEARCH("DO",B17)))</formula>
    </cfRule>
    <cfRule type="containsText" dxfId="421" priority="45" operator="containsText" text="VA">
      <formula>NOT(ISERROR(SEARCH("VA",B17)))</formula>
    </cfRule>
    <cfRule type="containsText" dxfId="420" priority="46" operator="containsText" text="T1">
      <formula>NOT(ISERROR(SEARCH("T1",B17)))</formula>
    </cfRule>
    <cfRule type="containsText" dxfId="419" priority="47" operator="containsText" text="T2">
      <formula>NOT(ISERROR(SEARCH("T2",B17)))</formula>
    </cfRule>
    <cfRule type="containsText" dxfId="418" priority="48" operator="containsText" text="T3">
      <formula>NOT(ISERROR(SEARCH("T3",B17)))</formula>
    </cfRule>
  </conditionalFormatting>
  <conditionalFormatting sqref="B15:AF15">
    <cfRule type="containsText" dxfId="417" priority="42" operator="containsText" text="DOM">
      <formula>NOT(ISERROR(SEARCH("DOM",B15)))</formula>
    </cfRule>
    <cfRule type="containsText" dxfId="416" priority="43" operator="containsText" text="SÁB">
      <formula>NOT(ISERROR(SEARCH("SÁB",B15)))</formula>
    </cfRule>
  </conditionalFormatting>
  <conditionalFormatting sqref="J7">
    <cfRule type="containsText" dxfId="415" priority="41" operator="containsText" text="FE">
      <formula>NOT(ISERROR(SEARCH("FE",J7)))</formula>
    </cfRule>
  </conditionalFormatting>
  <conditionalFormatting sqref="M5">
    <cfRule type="containsText" dxfId="414" priority="38" operator="containsText" text="T3">
      <formula>NOT(ISERROR(SEARCH("T3",M5)))</formula>
    </cfRule>
    <cfRule type="containsText" dxfId="413" priority="39" operator="containsText" text="T2">
      <formula>NOT(ISERROR(SEARCH("T2",M5)))</formula>
    </cfRule>
    <cfRule type="containsText" dxfId="412" priority="40" operator="containsText" text="T1">
      <formula>NOT(ISERROR(SEARCH("T1",M5)))</formula>
    </cfRule>
  </conditionalFormatting>
  <conditionalFormatting sqref="B16">
    <cfRule type="expression" dxfId="411" priority="50">
      <formula>$B$3="FE"</formula>
    </cfRule>
  </conditionalFormatting>
  <conditionalFormatting sqref="C16">
    <cfRule type="expression" dxfId="410" priority="51">
      <formula>$C$3="FE"</formula>
    </cfRule>
    <cfRule type="expression" dxfId="409" priority="52">
      <formula>$C$3="FE"</formula>
    </cfRule>
  </conditionalFormatting>
  <conditionalFormatting sqref="D16">
    <cfRule type="expression" dxfId="408" priority="53">
      <formula>$D$3="FE"</formula>
    </cfRule>
    <cfRule type="expression" dxfId="407" priority="54">
      <formula>$D$3="FE"</formula>
    </cfRule>
  </conditionalFormatting>
  <conditionalFormatting sqref="F16">
    <cfRule type="expression" dxfId="406" priority="55">
      <formula>$F$3="FE"</formula>
    </cfRule>
    <cfRule type="expression" dxfId="405" priority="56">
      <formula>$F$3="FE"</formula>
    </cfRule>
  </conditionalFormatting>
  <conditionalFormatting sqref="G16">
    <cfRule type="expression" dxfId="404" priority="57">
      <formula>$G$3="FE"</formula>
    </cfRule>
    <cfRule type="expression" dxfId="403" priority="58">
      <formula>$G$3="FE"</formula>
    </cfRule>
  </conditionalFormatting>
  <conditionalFormatting sqref="H16">
    <cfRule type="expression" dxfId="402" priority="59">
      <formula>$H$3="FE"</formula>
    </cfRule>
  </conditionalFormatting>
  <conditionalFormatting sqref="I16">
    <cfRule type="expression" dxfId="401" priority="60">
      <formula>$I$3="FE"</formula>
    </cfRule>
    <cfRule type="expression" dxfId="400" priority="61">
      <formula>$I$3="FE"</formula>
    </cfRule>
  </conditionalFormatting>
  <conditionalFormatting sqref="J16">
    <cfRule type="expression" dxfId="399" priority="62">
      <formula>$J$3="FE"</formula>
    </cfRule>
    <cfRule type="expression" dxfId="398" priority="63">
      <formula>$J$3="FE"</formula>
    </cfRule>
  </conditionalFormatting>
  <conditionalFormatting sqref="K16">
    <cfRule type="expression" dxfId="397" priority="64">
      <formula>$K$3="FE"</formula>
    </cfRule>
  </conditionalFormatting>
  <conditionalFormatting sqref="L16">
    <cfRule type="expression" dxfId="396" priority="65">
      <formula>$L$3="FE"</formula>
    </cfRule>
  </conditionalFormatting>
  <conditionalFormatting sqref="M16">
    <cfRule type="expression" dxfId="395" priority="66">
      <formula>$M$3="FE"</formula>
    </cfRule>
  </conditionalFormatting>
  <conditionalFormatting sqref="N16">
    <cfRule type="expression" dxfId="394" priority="67">
      <formula>$N$3="FE"</formula>
    </cfRule>
  </conditionalFormatting>
  <conditionalFormatting sqref="O16">
    <cfRule type="expression" dxfId="393" priority="68">
      <formula>$O$3="FE"</formula>
    </cfRule>
  </conditionalFormatting>
  <conditionalFormatting sqref="P16">
    <cfRule type="expression" dxfId="392" priority="69">
      <formula>$P$3="FE"</formula>
    </cfRule>
  </conditionalFormatting>
  <conditionalFormatting sqref="Q16">
    <cfRule type="expression" dxfId="391" priority="70">
      <formula>$Q$3="FE"</formula>
    </cfRule>
  </conditionalFormatting>
  <conditionalFormatting sqref="R16">
    <cfRule type="expression" dxfId="390" priority="71">
      <formula>$R$3="FE"</formula>
    </cfRule>
  </conditionalFormatting>
  <conditionalFormatting sqref="S16">
    <cfRule type="expression" dxfId="389" priority="72">
      <formula>$S$3="FE"</formula>
    </cfRule>
  </conditionalFormatting>
  <conditionalFormatting sqref="T16">
    <cfRule type="expression" dxfId="388" priority="73">
      <formula>$T$3="FE"</formula>
    </cfRule>
  </conditionalFormatting>
  <conditionalFormatting sqref="U16">
    <cfRule type="expression" dxfId="387" priority="74">
      <formula>$U$3="FE"</formula>
    </cfRule>
  </conditionalFormatting>
  <conditionalFormatting sqref="V16">
    <cfRule type="expression" dxfId="386" priority="75">
      <formula>$V$3="FE"</formula>
    </cfRule>
  </conditionalFormatting>
  <conditionalFormatting sqref="W16">
    <cfRule type="expression" dxfId="385" priority="76">
      <formula>$W$3="FE"</formula>
    </cfRule>
  </conditionalFormatting>
  <conditionalFormatting sqref="X16">
    <cfRule type="expression" dxfId="384" priority="77">
      <formula>$X$3="FE"</formula>
    </cfRule>
  </conditionalFormatting>
  <conditionalFormatting sqref="Y16">
    <cfRule type="expression" dxfId="383" priority="78">
      <formula>$Y$3="FE"</formula>
    </cfRule>
  </conditionalFormatting>
  <conditionalFormatting sqref="Z16">
    <cfRule type="expression" dxfId="382" priority="79">
      <formula>$Z$3="FE"</formula>
    </cfRule>
  </conditionalFormatting>
  <conditionalFormatting sqref="AA16">
    <cfRule type="expression" dxfId="381" priority="80">
      <formula>$AA$3="FE"</formula>
    </cfRule>
  </conditionalFormatting>
  <conditionalFormatting sqref="AB16">
    <cfRule type="expression" dxfId="380" priority="81">
      <formula>$AB$3="FE"</formula>
    </cfRule>
  </conditionalFormatting>
  <conditionalFormatting sqref="AC16">
    <cfRule type="expression" dxfId="379" priority="82">
      <formula>$AC$3="FE"</formula>
    </cfRule>
  </conditionalFormatting>
  <conditionalFormatting sqref="AD16">
    <cfRule type="expression" dxfId="378" priority="83">
      <formula>$AD$3="FE"</formula>
    </cfRule>
  </conditionalFormatting>
  <conditionalFormatting sqref="AE16">
    <cfRule type="expression" dxfId="377" priority="84">
      <formula>$AE$3="FE"</formula>
    </cfRule>
  </conditionalFormatting>
  <conditionalFormatting sqref="AF16">
    <cfRule type="expression" dxfId="376" priority="85">
      <formula>$AF$3="FE"</formula>
    </cfRule>
  </conditionalFormatting>
  <conditionalFormatting sqref="E16">
    <cfRule type="expression" dxfId="375" priority="86">
      <formula>$E$3="FE"</formula>
    </cfRule>
  </conditionalFormatting>
  <conditionalFormatting sqref="Z6:Z8 J5 J8:J10">
    <cfRule type="containsText" dxfId="374" priority="23" operator="containsText" text="OT">
      <formula>NOT(ISERROR(SEARCH("OT",J5)))</formula>
    </cfRule>
    <cfRule type="containsText" dxfId="373" priority="24" operator="containsText" text="SD">
      <formula>NOT(ISERROR(SEARCH("SD",J5)))</formula>
    </cfRule>
    <cfRule type="containsText" dxfId="372" priority="25" operator="containsText" text="E3">
      <formula>NOT(ISERROR(SEARCH("E3",J5)))</formula>
    </cfRule>
    <cfRule type="containsText" dxfId="371" priority="26" operator="containsText" text="E2">
      <formula>NOT(ISERROR(SEARCH("E2",J5)))</formula>
    </cfRule>
    <cfRule type="containsText" dxfId="370" priority="27" operator="containsText" text="E1">
      <formula>NOT(ISERROR(SEARCH("E1",J5)))</formula>
    </cfRule>
    <cfRule type="containsText" dxfId="369" priority="28" operator="containsText" text="DO">
      <formula>NOT(ISERROR(SEARCH("DO",J5)))</formula>
    </cfRule>
    <cfRule type="containsText" dxfId="368" priority="29" operator="containsText" text="VA">
      <formula>NOT(ISERROR(SEARCH("VA",J5)))</formula>
    </cfRule>
    <cfRule type="containsText" dxfId="367" priority="30" operator="containsText" text="T1">
      <formula>NOT(ISERROR(SEARCH("T1",J5)))</formula>
    </cfRule>
    <cfRule type="containsText" dxfId="366" priority="31" operator="containsText" text="T2">
      <formula>NOT(ISERROR(SEARCH("T2",J5)))</formula>
    </cfRule>
    <cfRule type="containsText" dxfId="365" priority="32" operator="containsText" text="T3">
      <formula>NOT(ISERROR(SEARCH("T3",J5)))</formula>
    </cfRule>
  </conditionalFormatting>
  <conditionalFormatting sqref="M8:M9">
    <cfRule type="containsText" dxfId="364" priority="13" operator="containsText" text="OT">
      <formula>NOT(ISERROR(SEARCH("OT",M8)))</formula>
    </cfRule>
    <cfRule type="containsText" dxfId="363" priority="14" operator="containsText" text="SD">
      <formula>NOT(ISERROR(SEARCH("SD",M8)))</formula>
    </cfRule>
    <cfRule type="containsText" dxfId="362" priority="15" operator="containsText" text="E3">
      <formula>NOT(ISERROR(SEARCH("E3",M8)))</formula>
    </cfRule>
    <cfRule type="containsText" dxfId="361" priority="16" operator="containsText" text="E2">
      <formula>NOT(ISERROR(SEARCH("E2",M8)))</formula>
    </cfRule>
    <cfRule type="containsText" dxfId="360" priority="17" operator="containsText" text="E1">
      <formula>NOT(ISERROR(SEARCH("E1",M8)))</formula>
    </cfRule>
    <cfRule type="containsText" dxfId="359" priority="18" operator="containsText" text="DO">
      <formula>NOT(ISERROR(SEARCH("DO",M8)))</formula>
    </cfRule>
    <cfRule type="containsText" dxfId="358" priority="19" operator="containsText" text="VA">
      <formula>NOT(ISERROR(SEARCH("VA",M8)))</formula>
    </cfRule>
    <cfRule type="containsText" dxfId="357" priority="20" operator="containsText" text="T1">
      <formula>NOT(ISERROR(SEARCH("T1",M8)))</formula>
    </cfRule>
    <cfRule type="containsText" dxfId="356" priority="21" operator="containsText" text="T2">
      <formula>NOT(ISERROR(SEARCH("T2",M8)))</formula>
    </cfRule>
    <cfRule type="containsText" dxfId="355" priority="22" operator="containsText" text="T3">
      <formula>NOT(ISERROR(SEARCH("T3",M8)))</formula>
    </cfRule>
  </conditionalFormatting>
  <conditionalFormatting sqref="J6">
    <cfRule type="containsText" dxfId="354" priority="1" operator="containsText" text="HB">
      <formula>NOT(ISERROR(SEARCH("HB",J6)))</formula>
    </cfRule>
    <cfRule type="containsText" dxfId="353" priority="2" operator="containsText" text="OT">
      <formula>NOT(ISERROR(SEARCH("OT",J6)))</formula>
    </cfRule>
    <cfRule type="containsText" dxfId="352" priority="3" operator="containsText" text="SD">
      <formula>NOT(ISERROR(SEARCH("SD",J6)))</formula>
    </cfRule>
    <cfRule type="containsText" dxfId="351" priority="4" operator="containsText" text="E3">
      <formula>NOT(ISERROR(SEARCH("E3",J6)))</formula>
    </cfRule>
    <cfRule type="containsText" dxfId="350" priority="5" operator="containsText" text="E2">
      <formula>NOT(ISERROR(SEARCH("E2",J6)))</formula>
    </cfRule>
    <cfRule type="containsText" dxfId="349" priority="6" operator="containsText" text="E1">
      <formula>NOT(ISERROR(SEARCH("E1",J6)))</formula>
    </cfRule>
    <cfRule type="containsText" dxfId="348" priority="7" operator="containsText" text="DO">
      <formula>NOT(ISERROR(SEARCH("DO",J6)))</formula>
    </cfRule>
    <cfRule type="containsText" dxfId="347" priority="8" operator="containsText" text="VA">
      <formula>NOT(ISERROR(SEARCH("VA",J6)))</formula>
    </cfRule>
    <cfRule type="containsText" dxfId="346" priority="9" operator="containsText" text="T1">
      <formula>NOT(ISERROR(SEARCH("T1",J6)))</formula>
    </cfRule>
    <cfRule type="containsText" dxfId="345" priority="10" operator="containsText" text="T2">
      <formula>NOT(ISERROR(SEARCH("T2",J6)))</formula>
    </cfRule>
    <cfRule type="containsText" dxfId="344" priority="11" operator="containsText" text="T3">
      <formula>NOT(ISERROR(SEARCH("T3",J6)))</formula>
    </cfRule>
  </conditionalFormatting>
  <dataValidations count="1">
    <dataValidation type="list" allowBlank="1" showInputMessage="1" showErrorMessage="1" sqref="M5" xr:uid="{74FB10E0-FD65-4292-91F9-2DEBB64B6049}">
      <formula1>#REF!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D0C045E-4D52-4D40-AA5F-DBEE28C64ADD}">
          <x14:formula1>
            <xm:f>Configuração!$N$7:$N$23</xm:f>
          </x14:formula1>
          <xm:sqref>AC6:AD8</xm:sqref>
        </x14:dataValidation>
        <x14:dataValidation type="list" allowBlank="1" showInputMessage="1" showErrorMessage="1" xr:uid="{293BDF0B-BC76-44BE-918A-A035EB6A66A7}">
          <x14:formula1>
            <xm:f>Configuração!$N$7:$N$1048576</xm:f>
          </x14:formula1>
          <xm:sqref>P5:P9</xm:sqref>
        </x14:dataValidation>
        <x14:dataValidation type="list" allowBlank="1" showInputMessage="1" showErrorMessage="1" xr:uid="{A9B4D086-4049-429C-A0A3-3D3ACCBFB774}">
          <x14:formula1>
            <xm:f>Configuração!$U$7:$U$17</xm:f>
          </x14:formula1>
          <xm:sqref>J6</xm:sqref>
        </x14:dataValidation>
        <x14:dataValidation type="list" allowBlank="1" showInputMessage="1" showErrorMessage="1" xr:uid="{2C0225B1-3D22-43E3-A513-C47D8E79732E}">
          <x14:formula1>
            <xm:f>Configuração!$U$7:$U$16</xm:f>
          </x14:formula1>
          <xm:sqref>Z6:Z8 J8:J10 J5 M8:M9</xm:sqref>
        </x14:dataValidation>
        <x14:dataValidation type="list" allowBlank="1" showInputMessage="1" showErrorMessage="1" xr:uid="{8287BC93-CFC7-47FE-94FF-1CA2F19AE99E}">
          <x14:formula1>
            <xm:f>Configuração!$L$7:$L$27</xm:f>
          </x14:formula1>
          <xm:sqref>S5:X9 A17:A24</xm:sqref>
        </x14:dataValidation>
        <x14:dataValidation type="list" allowBlank="1" showInputMessage="1" showErrorMessage="1" xr:uid="{2CC6D445-9B35-4063-8A40-0FBA6659BBF6}">
          <x14:formula1>
            <xm:f>Configuração!$Q$6:$Q$56</xm:f>
          </x14:formula1>
          <xm:sqref>D5:G5</xm:sqref>
        </x14:dataValidation>
        <x14:dataValidation type="list" allowBlank="1" showInputMessage="1" showErrorMessage="1" xr:uid="{22DCB157-85C1-4C31-AA8F-66330A26C178}">
          <x14:formula1>
            <xm:f>Configuração!$U$7:$U$22</xm:f>
          </x14:formula1>
          <xm:sqref>B17:AF37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C7A5B-5953-40ED-B9EE-907D61675069}">
  <sheetPr codeName="Planilha12"/>
  <dimension ref="A1:AF40"/>
  <sheetViews>
    <sheetView zoomScale="90" zoomScaleNormal="90" workbookViewId="0">
      <selection activeCell="AG1" sqref="AG1"/>
    </sheetView>
  </sheetViews>
  <sheetFormatPr defaultRowHeight="14.4" x14ac:dyDescent="0.3"/>
  <cols>
    <col min="1" max="1" width="11.77734375" bestFit="1" customWidth="1"/>
    <col min="2" max="32" width="6.6640625" customWidth="1"/>
  </cols>
  <sheetData>
    <row r="1" spans="1:32" ht="31.2" x14ac:dyDescent="0.3">
      <c r="A1" s="12"/>
      <c r="B1" s="12"/>
      <c r="C1" s="12"/>
      <c r="D1" s="12"/>
      <c r="E1" s="13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 ht="78.75" customHeight="1" x14ac:dyDescent="0.3">
      <c r="A2" s="14"/>
      <c r="B2" s="14"/>
      <c r="C2" s="14"/>
      <c r="D2" s="14"/>
      <c r="E2" s="1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32" ht="15" hidden="1" thickBot="1" x14ac:dyDescent="0.35">
      <c r="A3" s="8" t="s">
        <v>13</v>
      </c>
      <c r="B3" s="9" t="str">
        <f>IF(MONTH(D5)=5,"FE",IF(MONTH(D5)=1,"FE",""))</f>
        <v/>
      </c>
      <c r="C3" s="10" t="str">
        <f>IF(MONTH(D5)=11,"FE","")</f>
        <v/>
      </c>
      <c r="D3" s="10"/>
      <c r="E3" s="10" t="str">
        <f>IF(MONTH(D5)=3,"FE","")</f>
        <v/>
      </c>
      <c r="F3" s="10"/>
      <c r="G3" s="10"/>
      <c r="H3" s="10" t="str">
        <f>IF(MONTH(D5)=9,"FE","")</f>
        <v>FE</v>
      </c>
      <c r="I3" s="10"/>
      <c r="J3" s="10"/>
      <c r="K3" s="10"/>
      <c r="L3" s="10"/>
      <c r="M3" s="10" t="str">
        <f>IF(MONTH(D5)=10,"FE","")</f>
        <v/>
      </c>
      <c r="N3" s="10"/>
      <c r="O3" s="10"/>
      <c r="P3" s="10" t="str">
        <f>IF(MONTH(D5)=11,"FE","")</f>
        <v/>
      </c>
      <c r="Q3" s="10"/>
      <c r="R3" s="10"/>
      <c r="S3" s="10"/>
      <c r="T3" s="10"/>
      <c r="U3" s="10" t="str">
        <f>IF(MONTH(D5)=11,"FE","")</f>
        <v/>
      </c>
      <c r="V3" s="10" t="str">
        <f>IF(MONTH(D5)=4,"FE","")</f>
        <v/>
      </c>
      <c r="W3" s="10"/>
      <c r="X3" s="10"/>
      <c r="Y3" s="10"/>
      <c r="Z3" s="10" t="str">
        <f>IF(MONTH(D5)=12,"FE",IF(MONTH(D5)=1,"FE",""))</f>
        <v/>
      </c>
      <c r="AA3" s="10"/>
      <c r="AB3" s="10"/>
      <c r="AC3" s="10"/>
      <c r="AD3" s="10"/>
      <c r="AE3" s="10" t="str">
        <f>IF(MONTH(D5)=5,"FE","")</f>
        <v/>
      </c>
      <c r="AF3" s="11"/>
    </row>
    <row r="4" spans="1:3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3">
      <c r="A5" s="1"/>
      <c r="B5" s="72" t="s">
        <v>14</v>
      </c>
      <c r="C5" s="72"/>
      <c r="D5" s="73">
        <v>46266</v>
      </c>
      <c r="E5" s="73"/>
      <c r="F5" s="73"/>
      <c r="G5" s="73"/>
      <c r="H5" s="81" t="s">
        <v>68</v>
      </c>
      <c r="I5" s="82"/>
      <c r="J5" s="17" t="s">
        <v>67</v>
      </c>
      <c r="K5" s="1"/>
      <c r="L5" s="1"/>
      <c r="M5" s="76" t="s">
        <v>3</v>
      </c>
      <c r="N5" s="77" t="s">
        <v>17</v>
      </c>
      <c r="O5" s="77"/>
      <c r="P5" s="75" t="s">
        <v>83</v>
      </c>
      <c r="Q5" s="75"/>
      <c r="R5" s="75"/>
      <c r="S5" s="75" t="s">
        <v>7</v>
      </c>
      <c r="T5" s="75"/>
      <c r="U5" s="75"/>
      <c r="V5" s="75" t="s">
        <v>80</v>
      </c>
      <c r="W5" s="75"/>
      <c r="X5" s="75"/>
      <c r="Y5" s="1"/>
      <c r="Z5" s="80" t="s">
        <v>18</v>
      </c>
      <c r="AA5" s="80"/>
      <c r="AB5" s="80"/>
      <c r="AC5" s="80"/>
      <c r="AD5" s="80"/>
      <c r="AE5" s="1"/>
      <c r="AF5" s="1"/>
    </row>
    <row r="6" spans="1:32" x14ac:dyDescent="0.3">
      <c r="A6" s="1"/>
      <c r="B6" s="72" t="s">
        <v>19</v>
      </c>
      <c r="C6" s="72"/>
      <c r="D6" s="74">
        <f>EOMONTH(D5,0)</f>
        <v>46295</v>
      </c>
      <c r="E6" s="74"/>
      <c r="F6" s="74"/>
      <c r="G6" s="74"/>
      <c r="H6" s="81" t="s">
        <v>82</v>
      </c>
      <c r="I6" s="82"/>
      <c r="J6" s="18" t="s">
        <v>81</v>
      </c>
      <c r="K6" s="1"/>
      <c r="L6" s="1"/>
      <c r="M6" s="76"/>
      <c r="N6" s="77"/>
      <c r="O6" s="77"/>
      <c r="P6" s="75" t="s">
        <v>94</v>
      </c>
      <c r="Q6" s="75"/>
      <c r="R6" s="75"/>
      <c r="S6" s="75" t="s">
        <v>6</v>
      </c>
      <c r="T6" s="75"/>
      <c r="U6" s="75"/>
      <c r="V6" s="75"/>
      <c r="W6" s="75"/>
      <c r="X6" s="75"/>
      <c r="Y6" s="1"/>
      <c r="Z6" s="19" t="s">
        <v>22</v>
      </c>
      <c r="AA6" s="77" t="s">
        <v>23</v>
      </c>
      <c r="AB6" s="77"/>
      <c r="AC6" s="75" t="s">
        <v>83</v>
      </c>
      <c r="AD6" s="75"/>
      <c r="AE6" s="1"/>
      <c r="AF6" s="1"/>
    </row>
    <row r="7" spans="1:32" x14ac:dyDescent="0.3">
      <c r="A7" s="1"/>
      <c r="B7" s="72" t="s">
        <v>24</v>
      </c>
      <c r="C7" s="72"/>
      <c r="D7" s="75">
        <f>DAY(D6)</f>
        <v>30</v>
      </c>
      <c r="E7" s="75"/>
      <c r="F7" s="75"/>
      <c r="G7" s="75"/>
      <c r="H7" s="78" t="s">
        <v>25</v>
      </c>
      <c r="I7" s="79"/>
      <c r="J7" s="19" t="s">
        <v>26</v>
      </c>
      <c r="K7" s="1"/>
      <c r="L7" s="1"/>
      <c r="M7" s="76"/>
      <c r="N7" s="77"/>
      <c r="O7" s="77"/>
      <c r="P7" s="75" t="s">
        <v>27</v>
      </c>
      <c r="Q7" s="75"/>
      <c r="R7" s="75"/>
      <c r="S7" s="75" t="s">
        <v>73</v>
      </c>
      <c r="T7" s="75"/>
      <c r="U7" s="75"/>
      <c r="V7" s="75"/>
      <c r="W7" s="75"/>
      <c r="X7" s="75"/>
      <c r="Y7" s="1"/>
      <c r="Z7" s="19" t="s">
        <v>28</v>
      </c>
      <c r="AA7" s="77" t="s">
        <v>29</v>
      </c>
      <c r="AB7" s="77"/>
      <c r="AC7" s="75" t="s">
        <v>30</v>
      </c>
      <c r="AD7" s="75"/>
      <c r="AE7" s="1"/>
      <c r="AF7" s="1"/>
    </row>
    <row r="8" spans="1:32" x14ac:dyDescent="0.3">
      <c r="A8" s="1"/>
      <c r="B8" s="1"/>
      <c r="C8" s="1"/>
      <c r="D8" s="1"/>
      <c r="E8" s="1"/>
      <c r="F8" s="1"/>
      <c r="G8" s="1"/>
      <c r="H8" s="78" t="s">
        <v>15</v>
      </c>
      <c r="I8" s="79"/>
      <c r="J8" s="19" t="s">
        <v>16</v>
      </c>
      <c r="K8" s="1"/>
      <c r="L8" s="1"/>
      <c r="M8" s="19" t="s">
        <v>8</v>
      </c>
      <c r="N8" s="77" t="s">
        <v>29</v>
      </c>
      <c r="O8" s="77"/>
      <c r="P8" s="75" t="s">
        <v>30</v>
      </c>
      <c r="Q8" s="75"/>
      <c r="R8" s="75"/>
      <c r="S8" s="75" t="s">
        <v>9</v>
      </c>
      <c r="T8" s="75"/>
      <c r="U8" s="75"/>
      <c r="V8" s="75" t="s">
        <v>74</v>
      </c>
      <c r="W8" s="75"/>
      <c r="X8" s="75"/>
      <c r="Y8" s="1"/>
      <c r="Z8" s="19" t="s">
        <v>31</v>
      </c>
      <c r="AA8" s="77" t="s">
        <v>32</v>
      </c>
      <c r="AB8" s="77"/>
      <c r="AC8" s="75" t="s">
        <v>84</v>
      </c>
      <c r="AD8" s="75"/>
      <c r="AE8" s="1"/>
      <c r="AF8" s="1"/>
    </row>
    <row r="9" spans="1:32" x14ac:dyDescent="0.3">
      <c r="A9" s="1"/>
      <c r="B9" s="1"/>
      <c r="C9" s="1"/>
      <c r="D9" s="1"/>
      <c r="E9" s="1"/>
      <c r="F9" s="1"/>
      <c r="G9" s="1"/>
      <c r="H9" s="78" t="s">
        <v>20</v>
      </c>
      <c r="I9" s="79"/>
      <c r="J9" s="19" t="s">
        <v>21</v>
      </c>
      <c r="K9" s="1"/>
      <c r="L9" s="1"/>
      <c r="M9" s="19" t="s">
        <v>11</v>
      </c>
      <c r="N9" s="77" t="s">
        <v>33</v>
      </c>
      <c r="O9" s="77"/>
      <c r="P9" s="75" t="s">
        <v>84</v>
      </c>
      <c r="Q9" s="75"/>
      <c r="R9" s="75"/>
      <c r="S9" s="75" t="s">
        <v>10</v>
      </c>
      <c r="T9" s="75"/>
      <c r="U9" s="75"/>
      <c r="V9" s="75" t="s">
        <v>12</v>
      </c>
      <c r="W9" s="75"/>
      <c r="X9" s="75"/>
      <c r="Y9" s="1"/>
      <c r="Z9" s="1"/>
      <c r="AA9" s="1"/>
      <c r="AB9" s="1"/>
      <c r="AC9" s="1"/>
      <c r="AD9" s="1"/>
      <c r="AE9" s="1"/>
      <c r="AF9" s="1"/>
    </row>
    <row r="10" spans="1:32" x14ac:dyDescent="0.3">
      <c r="A10" s="1"/>
      <c r="B10" s="1"/>
      <c r="C10" s="1"/>
      <c r="D10" s="1"/>
      <c r="E10" s="1"/>
      <c r="F10" s="1"/>
      <c r="G10" s="1"/>
      <c r="H10" s="81" t="s">
        <v>70</v>
      </c>
      <c r="I10" s="82"/>
      <c r="J10" s="19" t="s">
        <v>69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22.8" x14ac:dyDescent="0.3">
      <c r="A14" s="69" t="s">
        <v>0</v>
      </c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1"/>
    </row>
    <row r="15" spans="1:32" x14ac:dyDescent="0.3">
      <c r="A15" s="114" t="s">
        <v>1</v>
      </c>
      <c r="B15" s="20" t="str">
        <f>UPPER(TEXT(B16,"[$]ddd"))</f>
        <v>TER</v>
      </c>
      <c r="C15" s="20" t="str">
        <f t="shared" ref="C15:AF15" si="0">UPPER(TEXT(C16,"[$]ddd"))</f>
        <v>QUA</v>
      </c>
      <c r="D15" s="20" t="str">
        <f t="shared" si="0"/>
        <v>QUI</v>
      </c>
      <c r="E15" s="20" t="str">
        <f t="shared" si="0"/>
        <v>SEX</v>
      </c>
      <c r="F15" s="20" t="str">
        <f t="shared" si="0"/>
        <v>SÁB</v>
      </c>
      <c r="G15" s="20" t="str">
        <f t="shared" si="0"/>
        <v>DOM</v>
      </c>
      <c r="H15" s="20" t="str">
        <f t="shared" si="0"/>
        <v>SEG</v>
      </c>
      <c r="I15" s="20" t="str">
        <f t="shared" si="0"/>
        <v>TER</v>
      </c>
      <c r="J15" s="20" t="str">
        <f t="shared" si="0"/>
        <v>QUA</v>
      </c>
      <c r="K15" s="20" t="str">
        <f t="shared" si="0"/>
        <v>QUI</v>
      </c>
      <c r="L15" s="20" t="str">
        <f t="shared" si="0"/>
        <v>SEX</v>
      </c>
      <c r="M15" s="20" t="str">
        <f t="shared" si="0"/>
        <v>SÁB</v>
      </c>
      <c r="N15" s="20" t="str">
        <f t="shared" si="0"/>
        <v>DOM</v>
      </c>
      <c r="O15" s="20" t="str">
        <f t="shared" si="0"/>
        <v>SEG</v>
      </c>
      <c r="P15" s="20" t="str">
        <f t="shared" si="0"/>
        <v>TER</v>
      </c>
      <c r="Q15" s="20" t="str">
        <f t="shared" si="0"/>
        <v>QUA</v>
      </c>
      <c r="R15" s="20" t="str">
        <f t="shared" si="0"/>
        <v>QUI</v>
      </c>
      <c r="S15" s="20" t="str">
        <f t="shared" si="0"/>
        <v>SEX</v>
      </c>
      <c r="T15" s="20" t="str">
        <f t="shared" si="0"/>
        <v>SÁB</v>
      </c>
      <c r="U15" s="20" t="str">
        <f t="shared" si="0"/>
        <v>DOM</v>
      </c>
      <c r="V15" s="20" t="str">
        <f t="shared" si="0"/>
        <v>SEG</v>
      </c>
      <c r="W15" s="20" t="str">
        <f t="shared" si="0"/>
        <v>TER</v>
      </c>
      <c r="X15" s="20" t="str">
        <f t="shared" si="0"/>
        <v>QUA</v>
      </c>
      <c r="Y15" s="20" t="str">
        <f t="shared" si="0"/>
        <v>QUI</v>
      </c>
      <c r="Z15" s="20" t="str">
        <f t="shared" si="0"/>
        <v>SEX</v>
      </c>
      <c r="AA15" s="20" t="str">
        <f t="shared" si="0"/>
        <v>SÁB</v>
      </c>
      <c r="AB15" s="20" t="str">
        <f t="shared" si="0"/>
        <v>DOM</v>
      </c>
      <c r="AC15" s="20" t="str">
        <f t="shared" si="0"/>
        <v>SEG</v>
      </c>
      <c r="AD15" s="20" t="str">
        <f t="shared" si="0"/>
        <v>TER</v>
      </c>
      <c r="AE15" s="20" t="str">
        <f t="shared" si="0"/>
        <v>QUA</v>
      </c>
      <c r="AF15" s="21" t="str">
        <f t="shared" si="0"/>
        <v>QUI</v>
      </c>
    </row>
    <row r="16" spans="1:32" x14ac:dyDescent="0.3">
      <c r="A16" s="115"/>
      <c r="B16" s="22">
        <f>D5</f>
        <v>46266</v>
      </c>
      <c r="C16" s="23">
        <f>B16+1</f>
        <v>46267</v>
      </c>
      <c r="D16" s="23">
        <f t="shared" ref="D16:AF16" si="1">C16+1</f>
        <v>46268</v>
      </c>
      <c r="E16" s="23">
        <f t="shared" si="1"/>
        <v>46269</v>
      </c>
      <c r="F16" s="23">
        <f t="shared" si="1"/>
        <v>46270</v>
      </c>
      <c r="G16" s="23">
        <f t="shared" si="1"/>
        <v>46271</v>
      </c>
      <c r="H16" s="23">
        <f t="shared" si="1"/>
        <v>46272</v>
      </c>
      <c r="I16" s="23">
        <f t="shared" si="1"/>
        <v>46273</v>
      </c>
      <c r="J16" s="23">
        <f t="shared" si="1"/>
        <v>46274</v>
      </c>
      <c r="K16" s="23">
        <f t="shared" si="1"/>
        <v>46275</v>
      </c>
      <c r="L16" s="23">
        <f t="shared" si="1"/>
        <v>46276</v>
      </c>
      <c r="M16" s="23">
        <f t="shared" si="1"/>
        <v>46277</v>
      </c>
      <c r="N16" s="23">
        <f t="shared" si="1"/>
        <v>46278</v>
      </c>
      <c r="O16" s="23">
        <f t="shared" si="1"/>
        <v>46279</v>
      </c>
      <c r="P16" s="23">
        <f t="shared" si="1"/>
        <v>46280</v>
      </c>
      <c r="Q16" s="23">
        <f t="shared" si="1"/>
        <v>46281</v>
      </c>
      <c r="R16" s="23">
        <f t="shared" si="1"/>
        <v>46282</v>
      </c>
      <c r="S16" s="23">
        <f t="shared" si="1"/>
        <v>46283</v>
      </c>
      <c r="T16" s="23">
        <f t="shared" si="1"/>
        <v>46284</v>
      </c>
      <c r="U16" s="23">
        <f t="shared" si="1"/>
        <v>46285</v>
      </c>
      <c r="V16" s="23">
        <f t="shared" si="1"/>
        <v>46286</v>
      </c>
      <c r="W16" s="23">
        <f t="shared" si="1"/>
        <v>46287</v>
      </c>
      <c r="X16" s="23">
        <f t="shared" si="1"/>
        <v>46288</v>
      </c>
      <c r="Y16" s="23">
        <f t="shared" si="1"/>
        <v>46289</v>
      </c>
      <c r="Z16" s="23">
        <f t="shared" si="1"/>
        <v>46290</v>
      </c>
      <c r="AA16" s="23">
        <f t="shared" si="1"/>
        <v>46291</v>
      </c>
      <c r="AB16" s="23">
        <f t="shared" si="1"/>
        <v>46292</v>
      </c>
      <c r="AC16" s="23">
        <f t="shared" si="1"/>
        <v>46293</v>
      </c>
      <c r="AD16" s="23">
        <f t="shared" si="1"/>
        <v>46294</v>
      </c>
      <c r="AE16" s="23">
        <f t="shared" si="1"/>
        <v>46295</v>
      </c>
      <c r="AF16" s="24">
        <f t="shared" si="1"/>
        <v>46296</v>
      </c>
    </row>
    <row r="17" spans="1:32" x14ac:dyDescent="0.3">
      <c r="A17" s="25" t="s">
        <v>7</v>
      </c>
      <c r="B17" s="19" t="s">
        <v>3</v>
      </c>
      <c r="C17" s="19" t="s">
        <v>3</v>
      </c>
      <c r="D17" s="19" t="s">
        <v>3</v>
      </c>
      <c r="E17" s="19" t="s">
        <v>3</v>
      </c>
      <c r="F17" s="19"/>
      <c r="G17" s="19"/>
      <c r="H17" s="19" t="s">
        <v>3</v>
      </c>
      <c r="I17" s="19" t="s">
        <v>3</v>
      </c>
      <c r="J17" s="19" t="s">
        <v>3</v>
      </c>
      <c r="K17" s="19" t="s">
        <v>3</v>
      </c>
      <c r="L17" s="19" t="s">
        <v>3</v>
      </c>
      <c r="M17" s="19"/>
      <c r="N17" s="19"/>
      <c r="O17" s="19" t="s">
        <v>3</v>
      </c>
      <c r="P17" s="19" t="s">
        <v>3</v>
      </c>
      <c r="Q17" s="19" t="s">
        <v>3</v>
      </c>
      <c r="R17" s="19" t="s">
        <v>3</v>
      </c>
      <c r="S17" s="19" t="s">
        <v>3</v>
      </c>
      <c r="T17" s="19"/>
      <c r="U17" s="19"/>
      <c r="V17" s="19" t="s">
        <v>3</v>
      </c>
      <c r="W17" s="19" t="s">
        <v>3</v>
      </c>
      <c r="X17" s="19" t="s">
        <v>3</v>
      </c>
      <c r="Y17" s="19" t="s">
        <v>3</v>
      </c>
      <c r="Z17" s="19" t="s">
        <v>3</v>
      </c>
      <c r="AA17" s="19"/>
      <c r="AB17" s="19"/>
      <c r="AC17" s="19" t="s">
        <v>3</v>
      </c>
      <c r="AD17" s="19" t="s">
        <v>3</v>
      </c>
      <c r="AE17" s="19" t="s">
        <v>3</v>
      </c>
      <c r="AF17" s="26" t="s">
        <v>3</v>
      </c>
    </row>
    <row r="18" spans="1:32" x14ac:dyDescent="0.3">
      <c r="A18" s="25" t="s">
        <v>80</v>
      </c>
      <c r="B18" s="19" t="s">
        <v>3</v>
      </c>
      <c r="C18" s="19" t="s">
        <v>3</v>
      </c>
      <c r="D18" s="19" t="s">
        <v>3</v>
      </c>
      <c r="E18" s="19" t="s">
        <v>3</v>
      </c>
      <c r="F18" s="19"/>
      <c r="G18" s="19"/>
      <c r="H18" s="19" t="s">
        <v>3</v>
      </c>
      <c r="I18" s="19" t="s">
        <v>3</v>
      </c>
      <c r="J18" s="19" t="s">
        <v>3</v>
      </c>
      <c r="K18" s="19" t="s">
        <v>3</v>
      </c>
      <c r="L18" s="19" t="s">
        <v>3</v>
      </c>
      <c r="M18" s="19"/>
      <c r="N18" s="19"/>
      <c r="O18" s="19" t="s">
        <v>3</v>
      </c>
      <c r="P18" s="19" t="s">
        <v>3</v>
      </c>
      <c r="Q18" s="19" t="s">
        <v>3</v>
      </c>
      <c r="R18" s="19" t="s">
        <v>3</v>
      </c>
      <c r="S18" s="19" t="s">
        <v>3</v>
      </c>
      <c r="T18" s="19"/>
      <c r="U18" s="19"/>
      <c r="V18" s="19" t="s">
        <v>3</v>
      </c>
      <c r="W18" s="19" t="s">
        <v>3</v>
      </c>
      <c r="X18" s="19" t="s">
        <v>3</v>
      </c>
      <c r="Y18" s="19" t="s">
        <v>3</v>
      </c>
      <c r="Z18" s="19" t="s">
        <v>3</v>
      </c>
      <c r="AA18" s="19"/>
      <c r="AB18" s="19"/>
      <c r="AC18" s="19" t="s">
        <v>3</v>
      </c>
      <c r="AD18" s="19" t="s">
        <v>3</v>
      </c>
      <c r="AE18" s="19" t="s">
        <v>3</v>
      </c>
      <c r="AF18" s="26" t="s">
        <v>3</v>
      </c>
    </row>
    <row r="19" spans="1:32" x14ac:dyDescent="0.3">
      <c r="A19" s="25" t="s">
        <v>6</v>
      </c>
      <c r="B19" s="19" t="s">
        <v>3</v>
      </c>
      <c r="C19" s="19" t="s">
        <v>3</v>
      </c>
      <c r="D19" s="19" t="s">
        <v>3</v>
      </c>
      <c r="E19" s="19" t="s">
        <v>3</v>
      </c>
      <c r="F19" s="19"/>
      <c r="G19" s="19"/>
      <c r="H19" s="19" t="s">
        <v>3</v>
      </c>
      <c r="I19" s="19" t="s">
        <v>3</v>
      </c>
      <c r="J19" s="19" t="s">
        <v>3</v>
      </c>
      <c r="K19" s="19" t="s">
        <v>3</v>
      </c>
      <c r="L19" s="19" t="s">
        <v>3</v>
      </c>
      <c r="M19" s="19"/>
      <c r="N19" s="19"/>
      <c r="O19" s="19" t="s">
        <v>3</v>
      </c>
      <c r="P19" s="19" t="s">
        <v>3</v>
      </c>
      <c r="Q19" s="19" t="s">
        <v>3</v>
      </c>
      <c r="R19" s="19" t="s">
        <v>3</v>
      </c>
      <c r="S19" s="19" t="s">
        <v>3</v>
      </c>
      <c r="T19" s="19"/>
      <c r="U19" s="19"/>
      <c r="V19" s="19" t="s">
        <v>3</v>
      </c>
      <c r="W19" s="19" t="s">
        <v>3</v>
      </c>
      <c r="X19" s="19" t="s">
        <v>3</v>
      </c>
      <c r="Y19" s="19" t="s">
        <v>3</v>
      </c>
      <c r="Z19" s="19" t="s">
        <v>3</v>
      </c>
      <c r="AA19" s="19"/>
      <c r="AB19" s="19"/>
      <c r="AC19" s="19" t="s">
        <v>3</v>
      </c>
      <c r="AD19" s="19" t="s">
        <v>3</v>
      </c>
      <c r="AE19" s="19" t="s">
        <v>3</v>
      </c>
      <c r="AF19" s="26" t="s">
        <v>3</v>
      </c>
    </row>
    <row r="20" spans="1:32" x14ac:dyDescent="0.3">
      <c r="A20" s="25" t="s">
        <v>73</v>
      </c>
      <c r="B20" s="19" t="s">
        <v>3</v>
      </c>
      <c r="C20" s="19" t="s">
        <v>3</v>
      </c>
      <c r="D20" s="19" t="s">
        <v>3</v>
      </c>
      <c r="E20" s="19" t="s">
        <v>3</v>
      </c>
      <c r="F20" s="19"/>
      <c r="G20" s="19"/>
      <c r="H20" s="19" t="s">
        <v>3</v>
      </c>
      <c r="I20" s="19" t="s">
        <v>3</v>
      </c>
      <c r="J20" s="19" t="s">
        <v>3</v>
      </c>
      <c r="K20" s="19" t="s">
        <v>3</v>
      </c>
      <c r="L20" s="19" t="s">
        <v>3</v>
      </c>
      <c r="M20" s="19"/>
      <c r="N20" s="19"/>
      <c r="O20" s="19" t="s">
        <v>3</v>
      </c>
      <c r="P20" s="19" t="s">
        <v>3</v>
      </c>
      <c r="Q20" s="19" t="s">
        <v>3</v>
      </c>
      <c r="R20" s="19" t="s">
        <v>3</v>
      </c>
      <c r="S20" s="19" t="s">
        <v>3</v>
      </c>
      <c r="T20" s="19"/>
      <c r="U20" s="19"/>
      <c r="V20" s="19" t="s">
        <v>3</v>
      </c>
      <c r="W20" s="19" t="s">
        <v>3</v>
      </c>
      <c r="X20" s="19" t="s">
        <v>3</v>
      </c>
      <c r="Y20" s="19" t="s">
        <v>3</v>
      </c>
      <c r="Z20" s="19" t="s">
        <v>3</v>
      </c>
      <c r="AA20" s="19"/>
      <c r="AB20" s="19"/>
      <c r="AC20" s="19" t="s">
        <v>3</v>
      </c>
      <c r="AD20" s="19" t="s">
        <v>3</v>
      </c>
      <c r="AE20" s="19" t="s">
        <v>3</v>
      </c>
      <c r="AF20" s="26" t="s">
        <v>3</v>
      </c>
    </row>
    <row r="21" spans="1:32" x14ac:dyDescent="0.3">
      <c r="A21" s="25" t="s">
        <v>9</v>
      </c>
      <c r="B21" s="19" t="s">
        <v>8</v>
      </c>
      <c r="C21" s="19" t="s">
        <v>8</v>
      </c>
      <c r="D21" s="19" t="s">
        <v>8</v>
      </c>
      <c r="E21" s="19" t="s">
        <v>8</v>
      </c>
      <c r="F21" s="19"/>
      <c r="G21" s="19"/>
      <c r="H21" s="19" t="s">
        <v>8</v>
      </c>
      <c r="I21" s="19" t="s">
        <v>8</v>
      </c>
      <c r="J21" s="19" t="s">
        <v>8</v>
      </c>
      <c r="K21" s="19" t="s">
        <v>8</v>
      </c>
      <c r="L21" s="19" t="s">
        <v>8</v>
      </c>
      <c r="M21" s="19"/>
      <c r="N21" s="19"/>
      <c r="O21" s="19" t="s">
        <v>8</v>
      </c>
      <c r="P21" s="19" t="s">
        <v>8</v>
      </c>
      <c r="Q21" s="19" t="s">
        <v>8</v>
      </c>
      <c r="R21" s="19" t="s">
        <v>8</v>
      </c>
      <c r="S21" s="19" t="s">
        <v>8</v>
      </c>
      <c r="T21" s="19"/>
      <c r="U21" s="19"/>
      <c r="V21" s="19" t="s">
        <v>8</v>
      </c>
      <c r="W21" s="19" t="s">
        <v>8</v>
      </c>
      <c r="X21" s="19" t="s">
        <v>8</v>
      </c>
      <c r="Y21" s="19" t="s">
        <v>8</v>
      </c>
      <c r="Z21" s="19" t="s">
        <v>8</v>
      </c>
      <c r="AA21" s="19"/>
      <c r="AB21" s="19"/>
      <c r="AC21" s="19" t="s">
        <v>8</v>
      </c>
      <c r="AD21" s="19" t="s">
        <v>8</v>
      </c>
      <c r="AE21" s="19" t="s">
        <v>8</v>
      </c>
      <c r="AF21" s="26" t="s">
        <v>8</v>
      </c>
    </row>
    <row r="22" spans="1:32" x14ac:dyDescent="0.3">
      <c r="A22" s="25" t="s">
        <v>74</v>
      </c>
      <c r="B22" s="19" t="s">
        <v>8</v>
      </c>
      <c r="C22" s="19" t="s">
        <v>8</v>
      </c>
      <c r="D22" s="19" t="s">
        <v>8</v>
      </c>
      <c r="E22" s="19" t="s">
        <v>8</v>
      </c>
      <c r="F22" s="19"/>
      <c r="G22" s="19"/>
      <c r="H22" s="19" t="s">
        <v>8</v>
      </c>
      <c r="I22" s="19" t="s">
        <v>8</v>
      </c>
      <c r="J22" s="19" t="s">
        <v>8</v>
      </c>
      <c r="K22" s="19" t="s">
        <v>8</v>
      </c>
      <c r="L22" s="19" t="s">
        <v>8</v>
      </c>
      <c r="M22" s="19"/>
      <c r="N22" s="19"/>
      <c r="O22" s="19" t="s">
        <v>8</v>
      </c>
      <c r="P22" s="19" t="s">
        <v>8</v>
      </c>
      <c r="Q22" s="19" t="s">
        <v>8</v>
      </c>
      <c r="R22" s="19" t="s">
        <v>8</v>
      </c>
      <c r="S22" s="19" t="s">
        <v>8</v>
      </c>
      <c r="T22" s="19"/>
      <c r="U22" s="19"/>
      <c r="V22" s="19" t="s">
        <v>8</v>
      </c>
      <c r="W22" s="19" t="s">
        <v>8</v>
      </c>
      <c r="X22" s="19" t="s">
        <v>8</v>
      </c>
      <c r="Y22" s="19" t="s">
        <v>8</v>
      </c>
      <c r="Z22" s="19" t="s">
        <v>8</v>
      </c>
      <c r="AA22" s="19"/>
      <c r="AB22" s="19"/>
      <c r="AC22" s="19" t="s">
        <v>8</v>
      </c>
      <c r="AD22" s="19" t="s">
        <v>8</v>
      </c>
      <c r="AE22" s="19" t="s">
        <v>8</v>
      </c>
      <c r="AF22" s="26" t="s">
        <v>8</v>
      </c>
    </row>
    <row r="23" spans="1:32" x14ac:dyDescent="0.3">
      <c r="A23" s="25" t="s">
        <v>10</v>
      </c>
      <c r="B23" s="19" t="s">
        <v>11</v>
      </c>
      <c r="C23" s="19" t="s">
        <v>11</v>
      </c>
      <c r="D23" s="19" t="s">
        <v>11</v>
      </c>
      <c r="E23" s="19" t="s">
        <v>11</v>
      </c>
      <c r="F23" s="19"/>
      <c r="G23" s="19"/>
      <c r="H23" s="19" t="s">
        <v>11</v>
      </c>
      <c r="I23" s="19" t="s">
        <v>11</v>
      </c>
      <c r="J23" s="19" t="s">
        <v>11</v>
      </c>
      <c r="K23" s="19" t="s">
        <v>11</v>
      </c>
      <c r="L23" s="19" t="s">
        <v>11</v>
      </c>
      <c r="M23" s="19"/>
      <c r="N23" s="19"/>
      <c r="O23" s="19" t="s">
        <v>11</v>
      </c>
      <c r="P23" s="19" t="s">
        <v>11</v>
      </c>
      <c r="Q23" s="19" t="s">
        <v>11</v>
      </c>
      <c r="R23" s="19" t="s">
        <v>11</v>
      </c>
      <c r="S23" s="19" t="s">
        <v>11</v>
      </c>
      <c r="T23" s="19"/>
      <c r="U23" s="19"/>
      <c r="V23" s="19" t="s">
        <v>11</v>
      </c>
      <c r="W23" s="19" t="s">
        <v>11</v>
      </c>
      <c r="X23" s="19" t="s">
        <v>11</v>
      </c>
      <c r="Y23" s="19" t="s">
        <v>11</v>
      </c>
      <c r="Z23" s="19" t="s">
        <v>11</v>
      </c>
      <c r="AA23" s="19"/>
      <c r="AB23" s="19"/>
      <c r="AC23" s="19" t="s">
        <v>11</v>
      </c>
      <c r="AD23" s="19" t="s">
        <v>11</v>
      </c>
      <c r="AE23" s="19" t="s">
        <v>11</v>
      </c>
      <c r="AF23" s="26" t="s">
        <v>11</v>
      </c>
    </row>
    <row r="24" spans="1:32" ht="15" thickBot="1" x14ac:dyDescent="0.35">
      <c r="A24" s="27" t="s">
        <v>12</v>
      </c>
      <c r="B24" s="28" t="s">
        <v>11</v>
      </c>
      <c r="C24" s="28" t="s">
        <v>11</v>
      </c>
      <c r="D24" s="28" t="s">
        <v>11</v>
      </c>
      <c r="E24" s="28" t="s">
        <v>11</v>
      </c>
      <c r="F24" s="28"/>
      <c r="G24" s="28"/>
      <c r="H24" s="28" t="s">
        <v>11</v>
      </c>
      <c r="I24" s="28" t="s">
        <v>11</v>
      </c>
      <c r="J24" s="28" t="s">
        <v>11</v>
      </c>
      <c r="K24" s="28" t="s">
        <v>11</v>
      </c>
      <c r="L24" s="28" t="s">
        <v>11</v>
      </c>
      <c r="M24" s="28"/>
      <c r="N24" s="28"/>
      <c r="O24" s="28" t="s">
        <v>11</v>
      </c>
      <c r="P24" s="28" t="s">
        <v>11</v>
      </c>
      <c r="Q24" s="28" t="s">
        <v>11</v>
      </c>
      <c r="R24" s="28" t="s">
        <v>11</v>
      </c>
      <c r="S24" s="28" t="s">
        <v>11</v>
      </c>
      <c r="T24" s="28"/>
      <c r="U24" s="28"/>
      <c r="V24" s="28" t="s">
        <v>11</v>
      </c>
      <c r="W24" s="28" t="s">
        <v>11</v>
      </c>
      <c r="X24" s="28" t="s">
        <v>11</v>
      </c>
      <c r="Y24" s="28" t="s">
        <v>11</v>
      </c>
      <c r="Z24" s="28" t="s">
        <v>11</v>
      </c>
      <c r="AA24" s="28"/>
      <c r="AB24" s="28"/>
      <c r="AC24" s="28" t="s">
        <v>11</v>
      </c>
      <c r="AD24" s="28" t="s">
        <v>11</v>
      </c>
      <c r="AE24" s="28" t="s">
        <v>11</v>
      </c>
      <c r="AF24" s="29" t="s">
        <v>11</v>
      </c>
    </row>
    <row r="25" spans="1:3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</sheetData>
  <mergeCells count="40">
    <mergeCell ref="S5:U5"/>
    <mergeCell ref="V5:X5"/>
    <mergeCell ref="Z5:AD5"/>
    <mergeCell ref="B6:C6"/>
    <mergeCell ref="D6:G6"/>
    <mergeCell ref="H6:I6"/>
    <mergeCell ref="P6:R6"/>
    <mergeCell ref="S6:U6"/>
    <mergeCell ref="V6:X6"/>
    <mergeCell ref="AA6:AB6"/>
    <mergeCell ref="B5:C5"/>
    <mergeCell ref="D5:G5"/>
    <mergeCell ref="H5:I5"/>
    <mergeCell ref="M5:M7"/>
    <mergeCell ref="N5:O7"/>
    <mergeCell ref="P5:R5"/>
    <mergeCell ref="AC6:AD6"/>
    <mergeCell ref="B7:C7"/>
    <mergeCell ref="D7:G7"/>
    <mergeCell ref="H7:I7"/>
    <mergeCell ref="P7:R7"/>
    <mergeCell ref="S7:U7"/>
    <mergeCell ref="V7:X7"/>
    <mergeCell ref="AA7:AB7"/>
    <mergeCell ref="AC7:AD7"/>
    <mergeCell ref="A15:A16"/>
    <mergeCell ref="H10:I10"/>
    <mergeCell ref="A14:AF14"/>
    <mergeCell ref="AC8:AD8"/>
    <mergeCell ref="H9:I9"/>
    <mergeCell ref="N9:O9"/>
    <mergeCell ref="P9:R9"/>
    <mergeCell ref="S9:U9"/>
    <mergeCell ref="V9:X9"/>
    <mergeCell ref="H8:I8"/>
    <mergeCell ref="N8:O8"/>
    <mergeCell ref="P8:R8"/>
    <mergeCell ref="S8:U8"/>
    <mergeCell ref="V8:X8"/>
    <mergeCell ref="AA8:AB8"/>
  </mergeCells>
  <conditionalFormatting sqref="B3:AF3">
    <cfRule type="containsText" dxfId="343" priority="49" operator="containsText" text="FE">
      <formula>NOT(ISERROR(SEARCH("FE",B3)))</formula>
    </cfRule>
  </conditionalFormatting>
  <conditionalFormatting sqref="B17:AF24">
    <cfRule type="containsText" dxfId="342" priority="12" operator="containsText" text="HB">
      <formula>NOT(ISERROR(SEARCH("HB",B17)))</formula>
    </cfRule>
    <cfRule type="containsText" dxfId="341" priority="33" operator="containsText" text="OT">
      <formula>NOT(ISERROR(SEARCH("OT",B17)))</formula>
    </cfRule>
    <cfRule type="containsText" dxfId="340" priority="34" operator="containsText" text="SD">
      <formula>NOT(ISERROR(SEARCH("SD",B17)))</formula>
    </cfRule>
    <cfRule type="containsText" dxfId="339" priority="35" operator="containsText" text="E3">
      <formula>NOT(ISERROR(SEARCH("E3",B17)))</formula>
    </cfRule>
    <cfRule type="containsText" dxfId="338" priority="36" operator="containsText" text="E2">
      <formula>NOT(ISERROR(SEARCH("E2",B17)))</formula>
    </cfRule>
    <cfRule type="containsText" dxfId="337" priority="37" operator="containsText" text="E1">
      <formula>NOT(ISERROR(SEARCH("E1",B17)))</formula>
    </cfRule>
    <cfRule type="containsText" dxfId="336" priority="44" operator="containsText" text="DO">
      <formula>NOT(ISERROR(SEARCH("DO",B17)))</formula>
    </cfRule>
    <cfRule type="containsText" dxfId="335" priority="45" operator="containsText" text="VA">
      <formula>NOT(ISERROR(SEARCH("VA",B17)))</formula>
    </cfRule>
    <cfRule type="containsText" dxfId="334" priority="46" operator="containsText" text="T1">
      <formula>NOT(ISERROR(SEARCH("T1",B17)))</formula>
    </cfRule>
    <cfRule type="containsText" dxfId="333" priority="47" operator="containsText" text="T2">
      <formula>NOT(ISERROR(SEARCH("T2",B17)))</formula>
    </cfRule>
    <cfRule type="containsText" dxfId="332" priority="48" operator="containsText" text="T3">
      <formula>NOT(ISERROR(SEARCH("T3",B17)))</formula>
    </cfRule>
  </conditionalFormatting>
  <conditionalFormatting sqref="B15:AF15">
    <cfRule type="containsText" dxfId="331" priority="42" operator="containsText" text="DOM">
      <formula>NOT(ISERROR(SEARCH("DOM",B15)))</formula>
    </cfRule>
    <cfRule type="containsText" dxfId="330" priority="43" operator="containsText" text="SÁB">
      <formula>NOT(ISERROR(SEARCH("SÁB",B15)))</formula>
    </cfRule>
  </conditionalFormatting>
  <conditionalFormatting sqref="J7">
    <cfRule type="containsText" dxfId="329" priority="41" operator="containsText" text="FE">
      <formula>NOT(ISERROR(SEARCH("FE",J7)))</formula>
    </cfRule>
  </conditionalFormatting>
  <conditionalFormatting sqref="M5">
    <cfRule type="containsText" dxfId="328" priority="38" operator="containsText" text="T3">
      <formula>NOT(ISERROR(SEARCH("T3",M5)))</formula>
    </cfRule>
    <cfRule type="containsText" dxfId="327" priority="39" operator="containsText" text="T2">
      <formula>NOT(ISERROR(SEARCH("T2",M5)))</formula>
    </cfRule>
    <cfRule type="containsText" dxfId="326" priority="40" operator="containsText" text="T1">
      <formula>NOT(ISERROR(SEARCH("T1",M5)))</formula>
    </cfRule>
  </conditionalFormatting>
  <conditionalFormatting sqref="B16">
    <cfRule type="expression" dxfId="325" priority="50">
      <formula>$B$3="FE"</formula>
    </cfRule>
  </conditionalFormatting>
  <conditionalFormatting sqref="C16">
    <cfRule type="expression" dxfId="324" priority="51">
      <formula>$C$3="FE"</formula>
    </cfRule>
    <cfRule type="expression" dxfId="323" priority="52">
      <formula>$C$3="FE"</formula>
    </cfRule>
  </conditionalFormatting>
  <conditionalFormatting sqref="D16">
    <cfRule type="expression" dxfId="322" priority="53">
      <formula>$D$3="FE"</formula>
    </cfRule>
    <cfRule type="expression" dxfId="321" priority="54">
      <formula>$D$3="FE"</formula>
    </cfRule>
  </conditionalFormatting>
  <conditionalFormatting sqref="F16">
    <cfRule type="expression" dxfId="320" priority="55">
      <formula>$F$3="FE"</formula>
    </cfRule>
    <cfRule type="expression" dxfId="319" priority="56">
      <formula>$F$3="FE"</formula>
    </cfRule>
  </conditionalFormatting>
  <conditionalFormatting sqref="G16">
    <cfRule type="expression" dxfId="318" priority="57">
      <formula>$G$3="FE"</formula>
    </cfRule>
    <cfRule type="expression" dxfId="317" priority="58">
      <formula>$G$3="FE"</formula>
    </cfRule>
  </conditionalFormatting>
  <conditionalFormatting sqref="H16">
    <cfRule type="expression" dxfId="316" priority="59">
      <formula>$H$3="FE"</formula>
    </cfRule>
  </conditionalFormatting>
  <conditionalFormatting sqref="I16">
    <cfRule type="expression" dxfId="315" priority="60">
      <formula>$I$3="FE"</formula>
    </cfRule>
    <cfRule type="expression" dxfId="314" priority="61">
      <formula>$I$3="FE"</formula>
    </cfRule>
  </conditionalFormatting>
  <conditionalFormatting sqref="J16">
    <cfRule type="expression" dxfId="313" priority="62">
      <formula>$J$3="FE"</formula>
    </cfRule>
    <cfRule type="expression" dxfId="312" priority="63">
      <formula>$J$3="FE"</formula>
    </cfRule>
  </conditionalFormatting>
  <conditionalFormatting sqref="K16">
    <cfRule type="expression" dxfId="311" priority="64">
      <formula>$K$3="FE"</formula>
    </cfRule>
  </conditionalFormatting>
  <conditionalFormatting sqref="L16">
    <cfRule type="expression" dxfId="310" priority="65">
      <formula>$L$3="FE"</formula>
    </cfRule>
  </conditionalFormatting>
  <conditionalFormatting sqref="M16">
    <cfRule type="expression" dxfId="309" priority="66">
      <formula>$M$3="FE"</formula>
    </cfRule>
  </conditionalFormatting>
  <conditionalFormatting sqref="N16">
    <cfRule type="expression" dxfId="308" priority="67">
      <formula>$N$3="FE"</formula>
    </cfRule>
  </conditionalFormatting>
  <conditionalFormatting sqref="O16">
    <cfRule type="expression" dxfId="307" priority="68">
      <formula>$O$3="FE"</formula>
    </cfRule>
  </conditionalFormatting>
  <conditionalFormatting sqref="P16">
    <cfRule type="expression" dxfId="306" priority="69">
      <formula>$P$3="FE"</formula>
    </cfRule>
  </conditionalFormatting>
  <conditionalFormatting sqref="Q16">
    <cfRule type="expression" dxfId="305" priority="70">
      <formula>$Q$3="FE"</formula>
    </cfRule>
  </conditionalFormatting>
  <conditionalFormatting sqref="R16">
    <cfRule type="expression" dxfId="304" priority="71">
      <formula>$R$3="FE"</formula>
    </cfRule>
  </conditionalFormatting>
  <conditionalFormatting sqref="S16">
    <cfRule type="expression" dxfId="303" priority="72">
      <formula>$S$3="FE"</formula>
    </cfRule>
  </conditionalFormatting>
  <conditionalFormatting sqref="T16">
    <cfRule type="expression" dxfId="302" priority="73">
      <formula>$T$3="FE"</formula>
    </cfRule>
  </conditionalFormatting>
  <conditionalFormatting sqref="U16">
    <cfRule type="expression" dxfId="301" priority="74">
      <formula>$U$3="FE"</formula>
    </cfRule>
  </conditionalFormatting>
  <conditionalFormatting sqref="V16">
    <cfRule type="expression" dxfId="300" priority="75">
      <formula>$V$3="FE"</formula>
    </cfRule>
  </conditionalFormatting>
  <conditionalFormatting sqref="W16">
    <cfRule type="expression" dxfId="299" priority="76">
      <formula>$W$3="FE"</formula>
    </cfRule>
  </conditionalFormatting>
  <conditionalFormatting sqref="X16">
    <cfRule type="expression" dxfId="298" priority="77">
      <formula>$X$3="FE"</formula>
    </cfRule>
  </conditionalFormatting>
  <conditionalFormatting sqref="Y16">
    <cfRule type="expression" dxfId="297" priority="78">
      <formula>$Y$3="FE"</formula>
    </cfRule>
  </conditionalFormatting>
  <conditionalFormatting sqref="Z16">
    <cfRule type="expression" dxfId="296" priority="79">
      <formula>$Z$3="FE"</formula>
    </cfRule>
  </conditionalFormatting>
  <conditionalFormatting sqref="AA16">
    <cfRule type="expression" dxfId="295" priority="80">
      <formula>$AA$3="FE"</formula>
    </cfRule>
  </conditionalFormatting>
  <conditionalFormatting sqref="AB16">
    <cfRule type="expression" dxfId="294" priority="81">
      <formula>$AB$3="FE"</formula>
    </cfRule>
  </conditionalFormatting>
  <conditionalFormatting sqref="AC16">
    <cfRule type="expression" dxfId="293" priority="82">
      <formula>$AC$3="FE"</formula>
    </cfRule>
  </conditionalFormatting>
  <conditionalFormatting sqref="AD16">
    <cfRule type="expression" dxfId="292" priority="83">
      <formula>$AD$3="FE"</formula>
    </cfRule>
  </conditionalFormatting>
  <conditionalFormatting sqref="AE16">
    <cfRule type="expression" dxfId="291" priority="84">
      <formula>$AE$3="FE"</formula>
    </cfRule>
  </conditionalFormatting>
  <conditionalFormatting sqref="AF16">
    <cfRule type="expression" dxfId="290" priority="85">
      <formula>$AF$3="FE"</formula>
    </cfRule>
  </conditionalFormatting>
  <conditionalFormatting sqref="E16">
    <cfRule type="expression" dxfId="289" priority="86">
      <formula>$E$3="FE"</formula>
    </cfRule>
  </conditionalFormatting>
  <conditionalFormatting sqref="Z6:Z8 J5 J8:J10">
    <cfRule type="containsText" dxfId="288" priority="23" operator="containsText" text="OT">
      <formula>NOT(ISERROR(SEARCH("OT",J5)))</formula>
    </cfRule>
    <cfRule type="containsText" dxfId="287" priority="24" operator="containsText" text="SD">
      <formula>NOT(ISERROR(SEARCH("SD",J5)))</formula>
    </cfRule>
    <cfRule type="containsText" dxfId="286" priority="25" operator="containsText" text="E3">
      <formula>NOT(ISERROR(SEARCH("E3",J5)))</formula>
    </cfRule>
    <cfRule type="containsText" dxfId="285" priority="26" operator="containsText" text="E2">
      <formula>NOT(ISERROR(SEARCH("E2",J5)))</formula>
    </cfRule>
    <cfRule type="containsText" dxfId="284" priority="27" operator="containsText" text="E1">
      <formula>NOT(ISERROR(SEARCH("E1",J5)))</formula>
    </cfRule>
    <cfRule type="containsText" dxfId="283" priority="28" operator="containsText" text="DO">
      <formula>NOT(ISERROR(SEARCH("DO",J5)))</formula>
    </cfRule>
    <cfRule type="containsText" dxfId="282" priority="29" operator="containsText" text="VA">
      <formula>NOT(ISERROR(SEARCH("VA",J5)))</formula>
    </cfRule>
    <cfRule type="containsText" dxfId="281" priority="30" operator="containsText" text="T1">
      <formula>NOT(ISERROR(SEARCH("T1",J5)))</formula>
    </cfRule>
    <cfRule type="containsText" dxfId="280" priority="31" operator="containsText" text="T2">
      <formula>NOT(ISERROR(SEARCH("T2",J5)))</formula>
    </cfRule>
    <cfRule type="containsText" dxfId="279" priority="32" operator="containsText" text="T3">
      <formula>NOT(ISERROR(SEARCH("T3",J5)))</formula>
    </cfRule>
  </conditionalFormatting>
  <conditionalFormatting sqref="M8:M9">
    <cfRule type="containsText" dxfId="278" priority="13" operator="containsText" text="OT">
      <formula>NOT(ISERROR(SEARCH("OT",M8)))</formula>
    </cfRule>
    <cfRule type="containsText" dxfId="277" priority="14" operator="containsText" text="SD">
      <formula>NOT(ISERROR(SEARCH("SD",M8)))</formula>
    </cfRule>
    <cfRule type="containsText" dxfId="276" priority="15" operator="containsText" text="E3">
      <formula>NOT(ISERROR(SEARCH("E3",M8)))</formula>
    </cfRule>
    <cfRule type="containsText" dxfId="275" priority="16" operator="containsText" text="E2">
      <formula>NOT(ISERROR(SEARCH("E2",M8)))</formula>
    </cfRule>
    <cfRule type="containsText" dxfId="274" priority="17" operator="containsText" text="E1">
      <formula>NOT(ISERROR(SEARCH("E1",M8)))</formula>
    </cfRule>
    <cfRule type="containsText" dxfId="273" priority="18" operator="containsText" text="DO">
      <formula>NOT(ISERROR(SEARCH("DO",M8)))</formula>
    </cfRule>
    <cfRule type="containsText" dxfId="272" priority="19" operator="containsText" text="VA">
      <formula>NOT(ISERROR(SEARCH("VA",M8)))</formula>
    </cfRule>
    <cfRule type="containsText" dxfId="271" priority="20" operator="containsText" text="T1">
      <formula>NOT(ISERROR(SEARCH("T1",M8)))</formula>
    </cfRule>
    <cfRule type="containsText" dxfId="270" priority="21" operator="containsText" text="T2">
      <formula>NOT(ISERROR(SEARCH("T2",M8)))</formula>
    </cfRule>
    <cfRule type="containsText" dxfId="269" priority="22" operator="containsText" text="T3">
      <formula>NOT(ISERROR(SEARCH("T3",M8)))</formula>
    </cfRule>
  </conditionalFormatting>
  <conditionalFormatting sqref="J6">
    <cfRule type="containsText" dxfId="268" priority="1" operator="containsText" text="HB">
      <formula>NOT(ISERROR(SEARCH("HB",J6)))</formula>
    </cfRule>
    <cfRule type="containsText" dxfId="267" priority="2" operator="containsText" text="OT">
      <formula>NOT(ISERROR(SEARCH("OT",J6)))</formula>
    </cfRule>
    <cfRule type="containsText" dxfId="266" priority="3" operator="containsText" text="SD">
      <formula>NOT(ISERROR(SEARCH("SD",J6)))</formula>
    </cfRule>
    <cfRule type="containsText" dxfId="265" priority="4" operator="containsText" text="E3">
      <formula>NOT(ISERROR(SEARCH("E3",J6)))</formula>
    </cfRule>
    <cfRule type="containsText" dxfId="264" priority="5" operator="containsText" text="E2">
      <formula>NOT(ISERROR(SEARCH("E2",J6)))</formula>
    </cfRule>
    <cfRule type="containsText" dxfId="263" priority="6" operator="containsText" text="E1">
      <formula>NOT(ISERROR(SEARCH("E1",J6)))</formula>
    </cfRule>
    <cfRule type="containsText" dxfId="262" priority="7" operator="containsText" text="DO">
      <formula>NOT(ISERROR(SEARCH("DO",J6)))</formula>
    </cfRule>
    <cfRule type="containsText" dxfId="261" priority="8" operator="containsText" text="VA">
      <formula>NOT(ISERROR(SEARCH("VA",J6)))</formula>
    </cfRule>
    <cfRule type="containsText" dxfId="260" priority="9" operator="containsText" text="T1">
      <formula>NOT(ISERROR(SEARCH("T1",J6)))</formula>
    </cfRule>
    <cfRule type="containsText" dxfId="259" priority="10" operator="containsText" text="T2">
      <formula>NOT(ISERROR(SEARCH("T2",J6)))</formula>
    </cfRule>
    <cfRule type="containsText" dxfId="258" priority="11" operator="containsText" text="T3">
      <formula>NOT(ISERROR(SEARCH("T3",J6)))</formula>
    </cfRule>
  </conditionalFormatting>
  <dataValidations count="1">
    <dataValidation type="list" allowBlank="1" showInputMessage="1" showErrorMessage="1" sqref="M5" xr:uid="{B1A1ACBD-E4B3-4D39-8521-152E59D88330}">
      <formula1>#REF!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3882456-5DBA-45DA-972D-FBDCB827F500}">
          <x14:formula1>
            <xm:f>Configuração!$N$7:$N$23</xm:f>
          </x14:formula1>
          <xm:sqref>AC6:AD8</xm:sqref>
        </x14:dataValidation>
        <x14:dataValidation type="list" allowBlank="1" showInputMessage="1" showErrorMessage="1" xr:uid="{D55942DC-4215-464C-BB06-1190670C9932}">
          <x14:formula1>
            <xm:f>Configuração!$N$7:$N$1048576</xm:f>
          </x14:formula1>
          <xm:sqref>P5:P9</xm:sqref>
        </x14:dataValidation>
        <x14:dataValidation type="list" allowBlank="1" showInputMessage="1" showErrorMessage="1" xr:uid="{CB1013B9-98B4-4088-98A5-4BF6E8090543}">
          <x14:formula1>
            <xm:f>Configuração!$U$7:$U$17</xm:f>
          </x14:formula1>
          <xm:sqref>J6</xm:sqref>
        </x14:dataValidation>
        <x14:dataValidation type="list" allowBlank="1" showInputMessage="1" showErrorMessage="1" xr:uid="{4031A980-CEAB-441E-B914-E2FF4E6F27F0}">
          <x14:formula1>
            <xm:f>Configuração!$U$7:$U$16</xm:f>
          </x14:formula1>
          <xm:sqref>Z6:Z8 J8:J10 J5 M8:M9</xm:sqref>
        </x14:dataValidation>
        <x14:dataValidation type="list" allowBlank="1" showInputMessage="1" showErrorMessage="1" xr:uid="{2C1AA7A7-4393-4771-801E-3A07F7231F39}">
          <x14:formula1>
            <xm:f>Configuração!$L$7:$L$27</xm:f>
          </x14:formula1>
          <xm:sqref>S5:X9 A17:A24</xm:sqref>
        </x14:dataValidation>
        <x14:dataValidation type="list" allowBlank="1" showInputMessage="1" showErrorMessage="1" xr:uid="{9C83679E-713F-44AF-897A-E8B790F4ADA7}">
          <x14:formula1>
            <xm:f>Configuração!$Q$6:$Q$56</xm:f>
          </x14:formula1>
          <xm:sqref>D5:G5</xm:sqref>
        </x14:dataValidation>
        <x14:dataValidation type="list" allowBlank="1" showInputMessage="1" showErrorMessage="1" xr:uid="{4EF126E8-4B39-4CCB-88D2-90BA7263C4C3}">
          <x14:formula1>
            <xm:f>Configuração!$U$7:$U$22</xm:f>
          </x14:formula1>
          <xm:sqref>B17:AF37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63A5D-6D37-4B7F-BAE8-2A0F0BAB5411}">
  <sheetPr codeName="Planilha13"/>
  <dimension ref="A1:AF40"/>
  <sheetViews>
    <sheetView zoomScale="90" zoomScaleNormal="90" workbookViewId="0">
      <selection activeCell="AG1" sqref="AG1"/>
    </sheetView>
  </sheetViews>
  <sheetFormatPr defaultRowHeight="14.4" x14ac:dyDescent="0.3"/>
  <cols>
    <col min="1" max="1" width="11.77734375" bestFit="1" customWidth="1"/>
    <col min="2" max="32" width="6.6640625" customWidth="1"/>
  </cols>
  <sheetData>
    <row r="1" spans="1:32" ht="31.2" x14ac:dyDescent="0.3">
      <c r="A1" s="12"/>
      <c r="B1" s="12"/>
      <c r="C1" s="12"/>
      <c r="D1" s="12"/>
      <c r="E1" s="13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 ht="78.75" customHeight="1" x14ac:dyDescent="0.3">
      <c r="A2" s="14"/>
      <c r="B2" s="14"/>
      <c r="C2" s="14"/>
      <c r="D2" s="14"/>
      <c r="E2" s="1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32" ht="15" hidden="1" thickBot="1" x14ac:dyDescent="0.35">
      <c r="A3" s="8" t="s">
        <v>13</v>
      </c>
      <c r="B3" s="9" t="str">
        <f>IF(MONTH(D5)=5,"FE",IF(MONTH(D5)=1,"FE",""))</f>
        <v/>
      </c>
      <c r="C3" s="10" t="str">
        <f>IF(MONTH(D5)=11,"FE","")</f>
        <v/>
      </c>
      <c r="D3" s="10"/>
      <c r="E3" s="10" t="str">
        <f>IF(MONTH(D5)=3,"FE","")</f>
        <v/>
      </c>
      <c r="F3" s="10"/>
      <c r="G3" s="10"/>
      <c r="H3" s="10" t="str">
        <f>IF(MONTH(D5)=9,"FE","")</f>
        <v/>
      </c>
      <c r="I3" s="10"/>
      <c r="J3" s="10"/>
      <c r="K3" s="10"/>
      <c r="L3" s="10"/>
      <c r="M3" s="10" t="str">
        <f>IF(MONTH(D5)=10,"FE","")</f>
        <v>FE</v>
      </c>
      <c r="N3" s="10"/>
      <c r="O3" s="10"/>
      <c r="P3" s="10" t="str">
        <f>IF(MONTH(D5)=11,"FE","")</f>
        <v/>
      </c>
      <c r="Q3" s="10"/>
      <c r="R3" s="10"/>
      <c r="S3" s="10"/>
      <c r="T3" s="10"/>
      <c r="U3" s="10" t="str">
        <f>IF(MONTH(D5)=11,"FE","")</f>
        <v/>
      </c>
      <c r="V3" s="10" t="str">
        <f>IF(MONTH(D5)=4,"FE","")</f>
        <v/>
      </c>
      <c r="W3" s="10"/>
      <c r="X3" s="10"/>
      <c r="Y3" s="10"/>
      <c r="Z3" s="10" t="str">
        <f>IF(MONTH(D5)=12,"FE",IF(MONTH(D5)=1,"FE",""))</f>
        <v/>
      </c>
      <c r="AA3" s="10"/>
      <c r="AB3" s="10"/>
      <c r="AC3" s="10"/>
      <c r="AD3" s="10"/>
      <c r="AE3" s="10" t="str">
        <f>IF(MONTH(D5)=5,"FE","")</f>
        <v/>
      </c>
      <c r="AF3" s="11"/>
    </row>
    <row r="4" spans="1:3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3">
      <c r="A5" s="1"/>
      <c r="B5" s="72" t="s">
        <v>14</v>
      </c>
      <c r="C5" s="72"/>
      <c r="D5" s="73">
        <v>46296</v>
      </c>
      <c r="E5" s="73"/>
      <c r="F5" s="73"/>
      <c r="G5" s="73"/>
      <c r="H5" s="81" t="s">
        <v>68</v>
      </c>
      <c r="I5" s="82"/>
      <c r="J5" s="17" t="s">
        <v>67</v>
      </c>
      <c r="K5" s="1"/>
      <c r="L5" s="1"/>
      <c r="M5" s="76" t="s">
        <v>3</v>
      </c>
      <c r="N5" s="77" t="s">
        <v>17</v>
      </c>
      <c r="O5" s="77"/>
      <c r="P5" s="75" t="s">
        <v>83</v>
      </c>
      <c r="Q5" s="75"/>
      <c r="R5" s="75"/>
      <c r="S5" s="75" t="s">
        <v>7</v>
      </c>
      <c r="T5" s="75"/>
      <c r="U5" s="75"/>
      <c r="V5" s="75" t="s">
        <v>80</v>
      </c>
      <c r="W5" s="75"/>
      <c r="X5" s="75"/>
      <c r="Y5" s="1"/>
      <c r="Z5" s="80" t="s">
        <v>18</v>
      </c>
      <c r="AA5" s="80"/>
      <c r="AB5" s="80"/>
      <c r="AC5" s="80"/>
      <c r="AD5" s="80"/>
      <c r="AE5" s="1"/>
      <c r="AF5" s="1"/>
    </row>
    <row r="6" spans="1:32" x14ac:dyDescent="0.3">
      <c r="A6" s="1"/>
      <c r="B6" s="72" t="s">
        <v>19</v>
      </c>
      <c r="C6" s="72"/>
      <c r="D6" s="74">
        <f>EOMONTH(D5,0)</f>
        <v>46326</v>
      </c>
      <c r="E6" s="74"/>
      <c r="F6" s="74"/>
      <c r="G6" s="74"/>
      <c r="H6" s="81" t="s">
        <v>82</v>
      </c>
      <c r="I6" s="82"/>
      <c r="J6" s="18" t="s">
        <v>81</v>
      </c>
      <c r="K6" s="1"/>
      <c r="L6" s="1"/>
      <c r="M6" s="76"/>
      <c r="N6" s="77"/>
      <c r="O6" s="77"/>
      <c r="P6" s="75" t="s">
        <v>94</v>
      </c>
      <c r="Q6" s="75"/>
      <c r="R6" s="75"/>
      <c r="S6" s="75" t="s">
        <v>6</v>
      </c>
      <c r="T6" s="75"/>
      <c r="U6" s="75"/>
      <c r="V6" s="75"/>
      <c r="W6" s="75"/>
      <c r="X6" s="75"/>
      <c r="Y6" s="1"/>
      <c r="Z6" s="19" t="s">
        <v>22</v>
      </c>
      <c r="AA6" s="77" t="s">
        <v>23</v>
      </c>
      <c r="AB6" s="77"/>
      <c r="AC6" s="75" t="s">
        <v>83</v>
      </c>
      <c r="AD6" s="75"/>
      <c r="AE6" s="1"/>
      <c r="AF6" s="1"/>
    </row>
    <row r="7" spans="1:32" x14ac:dyDescent="0.3">
      <c r="A7" s="1"/>
      <c r="B7" s="72" t="s">
        <v>24</v>
      </c>
      <c r="C7" s="72"/>
      <c r="D7" s="75">
        <f>DAY(D6)</f>
        <v>31</v>
      </c>
      <c r="E7" s="75"/>
      <c r="F7" s="75"/>
      <c r="G7" s="75"/>
      <c r="H7" s="78" t="s">
        <v>25</v>
      </c>
      <c r="I7" s="79"/>
      <c r="J7" s="19" t="s">
        <v>26</v>
      </c>
      <c r="K7" s="1"/>
      <c r="L7" s="1"/>
      <c r="M7" s="76"/>
      <c r="N7" s="77"/>
      <c r="O7" s="77"/>
      <c r="P7" s="75" t="s">
        <v>27</v>
      </c>
      <c r="Q7" s="75"/>
      <c r="R7" s="75"/>
      <c r="S7" s="75" t="s">
        <v>73</v>
      </c>
      <c r="T7" s="75"/>
      <c r="U7" s="75"/>
      <c r="V7" s="75"/>
      <c r="W7" s="75"/>
      <c r="X7" s="75"/>
      <c r="Y7" s="1"/>
      <c r="Z7" s="19" t="s">
        <v>28</v>
      </c>
      <c r="AA7" s="77" t="s">
        <v>29</v>
      </c>
      <c r="AB7" s="77"/>
      <c r="AC7" s="75" t="s">
        <v>30</v>
      </c>
      <c r="AD7" s="75"/>
      <c r="AE7" s="1"/>
      <c r="AF7" s="1"/>
    </row>
    <row r="8" spans="1:32" x14ac:dyDescent="0.3">
      <c r="A8" s="1"/>
      <c r="B8" s="1"/>
      <c r="C8" s="1"/>
      <c r="D8" s="1"/>
      <c r="E8" s="1"/>
      <c r="F8" s="1"/>
      <c r="G8" s="1"/>
      <c r="H8" s="78" t="s">
        <v>15</v>
      </c>
      <c r="I8" s="79"/>
      <c r="J8" s="19" t="s">
        <v>16</v>
      </c>
      <c r="K8" s="1"/>
      <c r="L8" s="1"/>
      <c r="M8" s="19" t="s">
        <v>8</v>
      </c>
      <c r="N8" s="77" t="s">
        <v>29</v>
      </c>
      <c r="O8" s="77"/>
      <c r="P8" s="75" t="s">
        <v>30</v>
      </c>
      <c r="Q8" s="75"/>
      <c r="R8" s="75"/>
      <c r="S8" s="75" t="s">
        <v>9</v>
      </c>
      <c r="T8" s="75"/>
      <c r="U8" s="75"/>
      <c r="V8" s="75" t="s">
        <v>74</v>
      </c>
      <c r="W8" s="75"/>
      <c r="X8" s="75"/>
      <c r="Y8" s="1"/>
      <c r="Z8" s="19" t="s">
        <v>31</v>
      </c>
      <c r="AA8" s="77" t="s">
        <v>32</v>
      </c>
      <c r="AB8" s="77"/>
      <c r="AC8" s="75" t="s">
        <v>84</v>
      </c>
      <c r="AD8" s="75"/>
      <c r="AE8" s="1"/>
      <c r="AF8" s="1"/>
    </row>
    <row r="9" spans="1:32" x14ac:dyDescent="0.3">
      <c r="A9" s="1"/>
      <c r="B9" s="1"/>
      <c r="C9" s="1"/>
      <c r="D9" s="1"/>
      <c r="E9" s="1"/>
      <c r="F9" s="1"/>
      <c r="G9" s="1"/>
      <c r="H9" s="78" t="s">
        <v>20</v>
      </c>
      <c r="I9" s="79"/>
      <c r="J9" s="19" t="s">
        <v>21</v>
      </c>
      <c r="K9" s="1"/>
      <c r="L9" s="1"/>
      <c r="M9" s="19" t="s">
        <v>11</v>
      </c>
      <c r="N9" s="77" t="s">
        <v>33</v>
      </c>
      <c r="O9" s="77"/>
      <c r="P9" s="75" t="s">
        <v>84</v>
      </c>
      <c r="Q9" s="75"/>
      <c r="R9" s="75"/>
      <c r="S9" s="75" t="s">
        <v>10</v>
      </c>
      <c r="T9" s="75"/>
      <c r="U9" s="75"/>
      <c r="V9" s="75" t="s">
        <v>12</v>
      </c>
      <c r="W9" s="75"/>
      <c r="X9" s="75"/>
      <c r="Y9" s="1"/>
      <c r="Z9" s="1"/>
      <c r="AA9" s="1"/>
      <c r="AB9" s="1"/>
      <c r="AC9" s="1"/>
      <c r="AD9" s="1"/>
      <c r="AE9" s="1"/>
      <c r="AF9" s="1"/>
    </row>
    <row r="10" spans="1:32" x14ac:dyDescent="0.3">
      <c r="A10" s="1"/>
      <c r="B10" s="1"/>
      <c r="C10" s="1"/>
      <c r="D10" s="1"/>
      <c r="E10" s="1"/>
      <c r="F10" s="1"/>
      <c r="G10" s="1"/>
      <c r="H10" s="81" t="s">
        <v>70</v>
      </c>
      <c r="I10" s="82"/>
      <c r="J10" s="19" t="s">
        <v>69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22.8" x14ac:dyDescent="0.3">
      <c r="A14" s="69" t="s">
        <v>0</v>
      </c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1"/>
    </row>
    <row r="15" spans="1:32" x14ac:dyDescent="0.3">
      <c r="A15" s="114" t="s">
        <v>1</v>
      </c>
      <c r="B15" s="20" t="str">
        <f>UPPER(TEXT(B16,"[$]ddd"))</f>
        <v>QUI</v>
      </c>
      <c r="C15" s="20" t="str">
        <f t="shared" ref="C15:AF15" si="0">UPPER(TEXT(C16,"[$]ddd"))</f>
        <v>SEX</v>
      </c>
      <c r="D15" s="20" t="str">
        <f t="shared" si="0"/>
        <v>SÁB</v>
      </c>
      <c r="E15" s="20" t="str">
        <f t="shared" si="0"/>
        <v>DOM</v>
      </c>
      <c r="F15" s="20" t="str">
        <f t="shared" si="0"/>
        <v>SEG</v>
      </c>
      <c r="G15" s="20" t="str">
        <f t="shared" si="0"/>
        <v>TER</v>
      </c>
      <c r="H15" s="20" t="str">
        <f t="shared" si="0"/>
        <v>QUA</v>
      </c>
      <c r="I15" s="20" t="str">
        <f t="shared" si="0"/>
        <v>QUI</v>
      </c>
      <c r="J15" s="20" t="str">
        <f t="shared" si="0"/>
        <v>SEX</v>
      </c>
      <c r="K15" s="20" t="str">
        <f t="shared" si="0"/>
        <v>SÁB</v>
      </c>
      <c r="L15" s="20" t="str">
        <f t="shared" si="0"/>
        <v>DOM</v>
      </c>
      <c r="M15" s="20" t="str">
        <f t="shared" si="0"/>
        <v>SEG</v>
      </c>
      <c r="N15" s="20" t="str">
        <f t="shared" si="0"/>
        <v>TER</v>
      </c>
      <c r="O15" s="20" t="str">
        <f t="shared" si="0"/>
        <v>QUA</v>
      </c>
      <c r="P15" s="20" t="str">
        <f t="shared" si="0"/>
        <v>QUI</v>
      </c>
      <c r="Q15" s="20" t="str">
        <f t="shared" si="0"/>
        <v>SEX</v>
      </c>
      <c r="R15" s="20" t="str">
        <f t="shared" si="0"/>
        <v>SÁB</v>
      </c>
      <c r="S15" s="20" t="str">
        <f t="shared" si="0"/>
        <v>DOM</v>
      </c>
      <c r="T15" s="20" t="str">
        <f t="shared" si="0"/>
        <v>SEG</v>
      </c>
      <c r="U15" s="20" t="str">
        <f t="shared" si="0"/>
        <v>TER</v>
      </c>
      <c r="V15" s="20" t="str">
        <f t="shared" si="0"/>
        <v>QUA</v>
      </c>
      <c r="W15" s="20" t="str">
        <f t="shared" si="0"/>
        <v>QUI</v>
      </c>
      <c r="X15" s="20" t="str">
        <f t="shared" si="0"/>
        <v>SEX</v>
      </c>
      <c r="Y15" s="20" t="str">
        <f t="shared" si="0"/>
        <v>SÁB</v>
      </c>
      <c r="Z15" s="20" t="str">
        <f t="shared" si="0"/>
        <v>DOM</v>
      </c>
      <c r="AA15" s="20" t="str">
        <f t="shared" si="0"/>
        <v>SEG</v>
      </c>
      <c r="AB15" s="20" t="str">
        <f t="shared" si="0"/>
        <v>TER</v>
      </c>
      <c r="AC15" s="20" t="str">
        <f t="shared" si="0"/>
        <v>QUA</v>
      </c>
      <c r="AD15" s="20" t="str">
        <f t="shared" si="0"/>
        <v>QUI</v>
      </c>
      <c r="AE15" s="20" t="str">
        <f t="shared" si="0"/>
        <v>SEX</v>
      </c>
      <c r="AF15" s="21" t="str">
        <f t="shared" si="0"/>
        <v>SÁB</v>
      </c>
    </row>
    <row r="16" spans="1:32" x14ac:dyDescent="0.3">
      <c r="A16" s="115"/>
      <c r="B16" s="22">
        <f>D5</f>
        <v>46296</v>
      </c>
      <c r="C16" s="23">
        <f>B16+1</f>
        <v>46297</v>
      </c>
      <c r="D16" s="23">
        <f t="shared" ref="D16:AF16" si="1">C16+1</f>
        <v>46298</v>
      </c>
      <c r="E16" s="23">
        <f t="shared" si="1"/>
        <v>46299</v>
      </c>
      <c r="F16" s="23">
        <f t="shared" si="1"/>
        <v>46300</v>
      </c>
      <c r="G16" s="23">
        <f t="shared" si="1"/>
        <v>46301</v>
      </c>
      <c r="H16" s="23">
        <f t="shared" si="1"/>
        <v>46302</v>
      </c>
      <c r="I16" s="23">
        <f t="shared" si="1"/>
        <v>46303</v>
      </c>
      <c r="J16" s="23">
        <f t="shared" si="1"/>
        <v>46304</v>
      </c>
      <c r="K16" s="23">
        <f t="shared" si="1"/>
        <v>46305</v>
      </c>
      <c r="L16" s="23">
        <f t="shared" si="1"/>
        <v>46306</v>
      </c>
      <c r="M16" s="23">
        <f t="shared" si="1"/>
        <v>46307</v>
      </c>
      <c r="N16" s="23">
        <f t="shared" si="1"/>
        <v>46308</v>
      </c>
      <c r="O16" s="23">
        <f t="shared" si="1"/>
        <v>46309</v>
      </c>
      <c r="P16" s="23">
        <f t="shared" si="1"/>
        <v>46310</v>
      </c>
      <c r="Q16" s="23">
        <f t="shared" si="1"/>
        <v>46311</v>
      </c>
      <c r="R16" s="23">
        <f t="shared" si="1"/>
        <v>46312</v>
      </c>
      <c r="S16" s="23">
        <f t="shared" si="1"/>
        <v>46313</v>
      </c>
      <c r="T16" s="23">
        <f t="shared" si="1"/>
        <v>46314</v>
      </c>
      <c r="U16" s="23">
        <f t="shared" si="1"/>
        <v>46315</v>
      </c>
      <c r="V16" s="23">
        <f t="shared" si="1"/>
        <v>46316</v>
      </c>
      <c r="W16" s="23">
        <f t="shared" si="1"/>
        <v>46317</v>
      </c>
      <c r="X16" s="23">
        <f t="shared" si="1"/>
        <v>46318</v>
      </c>
      <c r="Y16" s="23">
        <f t="shared" si="1"/>
        <v>46319</v>
      </c>
      <c r="Z16" s="23">
        <f t="shared" si="1"/>
        <v>46320</v>
      </c>
      <c r="AA16" s="23">
        <f t="shared" si="1"/>
        <v>46321</v>
      </c>
      <c r="AB16" s="23">
        <f t="shared" si="1"/>
        <v>46322</v>
      </c>
      <c r="AC16" s="23">
        <f t="shared" si="1"/>
        <v>46323</v>
      </c>
      <c r="AD16" s="23">
        <f t="shared" si="1"/>
        <v>46324</v>
      </c>
      <c r="AE16" s="23">
        <f t="shared" si="1"/>
        <v>46325</v>
      </c>
      <c r="AF16" s="24">
        <f t="shared" si="1"/>
        <v>46326</v>
      </c>
    </row>
    <row r="17" spans="1:32" x14ac:dyDescent="0.3">
      <c r="A17" s="25" t="s">
        <v>7</v>
      </c>
      <c r="B17" s="19" t="s">
        <v>3</v>
      </c>
      <c r="C17" s="19" t="s">
        <v>3</v>
      </c>
      <c r="D17" s="19"/>
      <c r="E17" s="19"/>
      <c r="F17" s="19" t="s">
        <v>3</v>
      </c>
      <c r="G17" s="19" t="s">
        <v>3</v>
      </c>
      <c r="H17" s="19" t="s">
        <v>3</v>
      </c>
      <c r="I17" s="19" t="s">
        <v>3</v>
      </c>
      <c r="J17" s="19" t="s">
        <v>3</v>
      </c>
      <c r="K17" s="19"/>
      <c r="L17" s="19"/>
      <c r="M17" s="19" t="s">
        <v>3</v>
      </c>
      <c r="N17" s="19" t="s">
        <v>3</v>
      </c>
      <c r="O17" s="19" t="s">
        <v>3</v>
      </c>
      <c r="P17" s="19" t="s">
        <v>3</v>
      </c>
      <c r="Q17" s="19" t="s">
        <v>3</v>
      </c>
      <c r="R17" s="19"/>
      <c r="S17" s="19"/>
      <c r="T17" s="19" t="s">
        <v>3</v>
      </c>
      <c r="U17" s="19" t="s">
        <v>3</v>
      </c>
      <c r="V17" s="19" t="s">
        <v>3</v>
      </c>
      <c r="W17" s="19" t="s">
        <v>3</v>
      </c>
      <c r="X17" s="19" t="s">
        <v>3</v>
      </c>
      <c r="Y17" s="19"/>
      <c r="Z17" s="19"/>
      <c r="AA17" s="19" t="s">
        <v>3</v>
      </c>
      <c r="AB17" s="19" t="s">
        <v>3</v>
      </c>
      <c r="AC17" s="19" t="s">
        <v>3</v>
      </c>
      <c r="AD17" s="19" t="s">
        <v>3</v>
      </c>
      <c r="AE17" s="19" t="s">
        <v>3</v>
      </c>
      <c r="AF17" s="26"/>
    </row>
    <row r="18" spans="1:32" x14ac:dyDescent="0.3">
      <c r="A18" s="25" t="s">
        <v>80</v>
      </c>
      <c r="B18" s="19" t="s">
        <v>3</v>
      </c>
      <c r="C18" s="19" t="s">
        <v>3</v>
      </c>
      <c r="D18" s="19"/>
      <c r="E18" s="19"/>
      <c r="F18" s="19" t="s">
        <v>3</v>
      </c>
      <c r="G18" s="19" t="s">
        <v>3</v>
      </c>
      <c r="H18" s="19" t="s">
        <v>3</v>
      </c>
      <c r="I18" s="19" t="s">
        <v>3</v>
      </c>
      <c r="J18" s="19" t="s">
        <v>3</v>
      </c>
      <c r="K18" s="19"/>
      <c r="L18" s="19"/>
      <c r="M18" s="19" t="s">
        <v>3</v>
      </c>
      <c r="N18" s="19" t="s">
        <v>3</v>
      </c>
      <c r="O18" s="19" t="s">
        <v>3</v>
      </c>
      <c r="P18" s="19" t="s">
        <v>3</v>
      </c>
      <c r="Q18" s="19" t="s">
        <v>3</v>
      </c>
      <c r="R18" s="19"/>
      <c r="S18" s="19"/>
      <c r="T18" s="19" t="s">
        <v>3</v>
      </c>
      <c r="U18" s="19" t="s">
        <v>3</v>
      </c>
      <c r="V18" s="19" t="s">
        <v>3</v>
      </c>
      <c r="W18" s="19" t="s">
        <v>3</v>
      </c>
      <c r="X18" s="19" t="s">
        <v>3</v>
      </c>
      <c r="Y18" s="19"/>
      <c r="Z18" s="19"/>
      <c r="AA18" s="19" t="s">
        <v>3</v>
      </c>
      <c r="AB18" s="19" t="s">
        <v>3</v>
      </c>
      <c r="AC18" s="19" t="s">
        <v>3</v>
      </c>
      <c r="AD18" s="19" t="s">
        <v>3</v>
      </c>
      <c r="AE18" s="19" t="s">
        <v>3</v>
      </c>
      <c r="AF18" s="26"/>
    </row>
    <row r="19" spans="1:32" x14ac:dyDescent="0.3">
      <c r="A19" s="25" t="s">
        <v>6</v>
      </c>
      <c r="B19" s="19" t="s">
        <v>3</v>
      </c>
      <c r="C19" s="19" t="s">
        <v>3</v>
      </c>
      <c r="D19" s="19"/>
      <c r="E19" s="19"/>
      <c r="F19" s="19" t="s">
        <v>3</v>
      </c>
      <c r="G19" s="19" t="s">
        <v>3</v>
      </c>
      <c r="H19" s="19" t="s">
        <v>3</v>
      </c>
      <c r="I19" s="19" t="s">
        <v>3</v>
      </c>
      <c r="J19" s="19" t="s">
        <v>3</v>
      </c>
      <c r="K19" s="19"/>
      <c r="L19" s="19"/>
      <c r="M19" s="19" t="s">
        <v>3</v>
      </c>
      <c r="N19" s="19" t="s">
        <v>3</v>
      </c>
      <c r="O19" s="19" t="s">
        <v>3</v>
      </c>
      <c r="P19" s="19" t="s">
        <v>3</v>
      </c>
      <c r="Q19" s="19" t="s">
        <v>3</v>
      </c>
      <c r="R19" s="19"/>
      <c r="S19" s="19"/>
      <c r="T19" s="19" t="s">
        <v>3</v>
      </c>
      <c r="U19" s="19" t="s">
        <v>3</v>
      </c>
      <c r="V19" s="19" t="s">
        <v>3</v>
      </c>
      <c r="W19" s="19" t="s">
        <v>3</v>
      </c>
      <c r="X19" s="19" t="s">
        <v>3</v>
      </c>
      <c r="Y19" s="19"/>
      <c r="Z19" s="19"/>
      <c r="AA19" s="19" t="s">
        <v>3</v>
      </c>
      <c r="AB19" s="19" t="s">
        <v>3</v>
      </c>
      <c r="AC19" s="19" t="s">
        <v>3</v>
      </c>
      <c r="AD19" s="19" t="s">
        <v>3</v>
      </c>
      <c r="AE19" s="19" t="s">
        <v>3</v>
      </c>
      <c r="AF19" s="26"/>
    </row>
    <row r="20" spans="1:32" x14ac:dyDescent="0.3">
      <c r="A20" s="25" t="s">
        <v>73</v>
      </c>
      <c r="B20" s="19" t="s">
        <v>3</v>
      </c>
      <c r="C20" s="19" t="s">
        <v>3</v>
      </c>
      <c r="D20" s="19"/>
      <c r="E20" s="19"/>
      <c r="F20" s="19" t="s">
        <v>3</v>
      </c>
      <c r="G20" s="19" t="s">
        <v>3</v>
      </c>
      <c r="H20" s="19" t="s">
        <v>3</v>
      </c>
      <c r="I20" s="19" t="s">
        <v>3</v>
      </c>
      <c r="J20" s="19" t="s">
        <v>3</v>
      </c>
      <c r="K20" s="19"/>
      <c r="L20" s="19"/>
      <c r="M20" s="19" t="s">
        <v>3</v>
      </c>
      <c r="N20" s="19" t="s">
        <v>3</v>
      </c>
      <c r="O20" s="19" t="s">
        <v>3</v>
      </c>
      <c r="P20" s="19" t="s">
        <v>3</v>
      </c>
      <c r="Q20" s="19" t="s">
        <v>3</v>
      </c>
      <c r="R20" s="19"/>
      <c r="S20" s="19"/>
      <c r="T20" s="19" t="s">
        <v>3</v>
      </c>
      <c r="U20" s="19" t="s">
        <v>3</v>
      </c>
      <c r="V20" s="19" t="s">
        <v>3</v>
      </c>
      <c r="W20" s="19" t="s">
        <v>3</v>
      </c>
      <c r="X20" s="19" t="s">
        <v>3</v>
      </c>
      <c r="Y20" s="19"/>
      <c r="Z20" s="19"/>
      <c r="AA20" s="19" t="s">
        <v>3</v>
      </c>
      <c r="AB20" s="19" t="s">
        <v>3</v>
      </c>
      <c r="AC20" s="19" t="s">
        <v>3</v>
      </c>
      <c r="AD20" s="19" t="s">
        <v>3</v>
      </c>
      <c r="AE20" s="19" t="s">
        <v>3</v>
      </c>
      <c r="AF20" s="26"/>
    </row>
    <row r="21" spans="1:32" x14ac:dyDescent="0.3">
      <c r="A21" s="25" t="s">
        <v>9</v>
      </c>
      <c r="B21" s="19" t="s">
        <v>8</v>
      </c>
      <c r="C21" s="19" t="s">
        <v>8</v>
      </c>
      <c r="D21" s="19"/>
      <c r="E21" s="19"/>
      <c r="F21" s="19" t="s">
        <v>8</v>
      </c>
      <c r="G21" s="19" t="s">
        <v>8</v>
      </c>
      <c r="H21" s="19" t="s">
        <v>8</v>
      </c>
      <c r="I21" s="19" t="s">
        <v>8</v>
      </c>
      <c r="J21" s="19" t="s">
        <v>8</v>
      </c>
      <c r="K21" s="19"/>
      <c r="L21" s="19"/>
      <c r="M21" s="19" t="s">
        <v>8</v>
      </c>
      <c r="N21" s="19" t="s">
        <v>8</v>
      </c>
      <c r="O21" s="19" t="s">
        <v>8</v>
      </c>
      <c r="P21" s="19" t="s">
        <v>8</v>
      </c>
      <c r="Q21" s="19" t="s">
        <v>8</v>
      </c>
      <c r="R21" s="19"/>
      <c r="S21" s="19"/>
      <c r="T21" s="19" t="s">
        <v>8</v>
      </c>
      <c r="U21" s="19" t="s">
        <v>8</v>
      </c>
      <c r="V21" s="19" t="s">
        <v>8</v>
      </c>
      <c r="W21" s="19" t="s">
        <v>8</v>
      </c>
      <c r="X21" s="19" t="s">
        <v>8</v>
      </c>
      <c r="Y21" s="19"/>
      <c r="Z21" s="19"/>
      <c r="AA21" s="19" t="s">
        <v>8</v>
      </c>
      <c r="AB21" s="19" t="s">
        <v>8</v>
      </c>
      <c r="AC21" s="19" t="s">
        <v>8</v>
      </c>
      <c r="AD21" s="19" t="s">
        <v>8</v>
      </c>
      <c r="AE21" s="19" t="s">
        <v>8</v>
      </c>
      <c r="AF21" s="26"/>
    </row>
    <row r="22" spans="1:32" x14ac:dyDescent="0.3">
      <c r="A22" s="25" t="s">
        <v>74</v>
      </c>
      <c r="B22" s="19" t="s">
        <v>8</v>
      </c>
      <c r="C22" s="19" t="s">
        <v>8</v>
      </c>
      <c r="D22" s="19"/>
      <c r="E22" s="19"/>
      <c r="F22" s="19" t="s">
        <v>8</v>
      </c>
      <c r="G22" s="19" t="s">
        <v>8</v>
      </c>
      <c r="H22" s="19" t="s">
        <v>8</v>
      </c>
      <c r="I22" s="19" t="s">
        <v>8</v>
      </c>
      <c r="J22" s="19" t="s">
        <v>8</v>
      </c>
      <c r="K22" s="19"/>
      <c r="L22" s="19"/>
      <c r="M22" s="19" t="s">
        <v>8</v>
      </c>
      <c r="N22" s="19" t="s">
        <v>8</v>
      </c>
      <c r="O22" s="19" t="s">
        <v>8</v>
      </c>
      <c r="P22" s="19" t="s">
        <v>8</v>
      </c>
      <c r="Q22" s="19" t="s">
        <v>8</v>
      </c>
      <c r="R22" s="19"/>
      <c r="S22" s="19"/>
      <c r="T22" s="19" t="s">
        <v>8</v>
      </c>
      <c r="U22" s="19" t="s">
        <v>8</v>
      </c>
      <c r="V22" s="19" t="s">
        <v>8</v>
      </c>
      <c r="W22" s="19" t="s">
        <v>8</v>
      </c>
      <c r="X22" s="19" t="s">
        <v>8</v>
      </c>
      <c r="Y22" s="19"/>
      <c r="Z22" s="19"/>
      <c r="AA22" s="19" t="s">
        <v>8</v>
      </c>
      <c r="AB22" s="19" t="s">
        <v>8</v>
      </c>
      <c r="AC22" s="19" t="s">
        <v>8</v>
      </c>
      <c r="AD22" s="19" t="s">
        <v>8</v>
      </c>
      <c r="AE22" s="19" t="s">
        <v>8</v>
      </c>
      <c r="AF22" s="26"/>
    </row>
    <row r="23" spans="1:32" x14ac:dyDescent="0.3">
      <c r="A23" s="25" t="s">
        <v>10</v>
      </c>
      <c r="B23" s="19" t="s">
        <v>11</v>
      </c>
      <c r="C23" s="19" t="s">
        <v>11</v>
      </c>
      <c r="D23" s="19"/>
      <c r="E23" s="19"/>
      <c r="F23" s="19" t="s">
        <v>11</v>
      </c>
      <c r="G23" s="19" t="s">
        <v>11</v>
      </c>
      <c r="H23" s="19" t="s">
        <v>11</v>
      </c>
      <c r="I23" s="19" t="s">
        <v>11</v>
      </c>
      <c r="J23" s="19" t="s">
        <v>11</v>
      </c>
      <c r="K23" s="19"/>
      <c r="L23" s="19"/>
      <c r="M23" s="19" t="s">
        <v>11</v>
      </c>
      <c r="N23" s="19" t="s">
        <v>11</v>
      </c>
      <c r="O23" s="19" t="s">
        <v>11</v>
      </c>
      <c r="P23" s="19" t="s">
        <v>11</v>
      </c>
      <c r="Q23" s="19" t="s">
        <v>11</v>
      </c>
      <c r="R23" s="19"/>
      <c r="S23" s="19"/>
      <c r="T23" s="19" t="s">
        <v>11</v>
      </c>
      <c r="U23" s="19" t="s">
        <v>11</v>
      </c>
      <c r="V23" s="19" t="s">
        <v>11</v>
      </c>
      <c r="W23" s="19" t="s">
        <v>11</v>
      </c>
      <c r="X23" s="19" t="s">
        <v>11</v>
      </c>
      <c r="Y23" s="19"/>
      <c r="Z23" s="19"/>
      <c r="AA23" s="19" t="s">
        <v>11</v>
      </c>
      <c r="AB23" s="19" t="s">
        <v>11</v>
      </c>
      <c r="AC23" s="19" t="s">
        <v>11</v>
      </c>
      <c r="AD23" s="19" t="s">
        <v>11</v>
      </c>
      <c r="AE23" s="19" t="s">
        <v>11</v>
      </c>
      <c r="AF23" s="26"/>
    </row>
    <row r="24" spans="1:32" ht="15" thickBot="1" x14ac:dyDescent="0.35">
      <c r="A24" s="27" t="s">
        <v>12</v>
      </c>
      <c r="B24" s="28" t="s">
        <v>11</v>
      </c>
      <c r="C24" s="28" t="s">
        <v>11</v>
      </c>
      <c r="D24" s="28"/>
      <c r="E24" s="28"/>
      <c r="F24" s="28" t="s">
        <v>11</v>
      </c>
      <c r="G24" s="28" t="s">
        <v>11</v>
      </c>
      <c r="H24" s="28" t="s">
        <v>11</v>
      </c>
      <c r="I24" s="28" t="s">
        <v>11</v>
      </c>
      <c r="J24" s="28" t="s">
        <v>11</v>
      </c>
      <c r="K24" s="28"/>
      <c r="L24" s="28"/>
      <c r="M24" s="28" t="s">
        <v>11</v>
      </c>
      <c r="N24" s="28" t="s">
        <v>11</v>
      </c>
      <c r="O24" s="28" t="s">
        <v>11</v>
      </c>
      <c r="P24" s="28" t="s">
        <v>11</v>
      </c>
      <c r="Q24" s="28" t="s">
        <v>11</v>
      </c>
      <c r="R24" s="28"/>
      <c r="S24" s="28"/>
      <c r="T24" s="28" t="s">
        <v>11</v>
      </c>
      <c r="U24" s="28" t="s">
        <v>11</v>
      </c>
      <c r="V24" s="28" t="s">
        <v>11</v>
      </c>
      <c r="W24" s="28" t="s">
        <v>11</v>
      </c>
      <c r="X24" s="28" t="s">
        <v>11</v>
      </c>
      <c r="Y24" s="28"/>
      <c r="Z24" s="28"/>
      <c r="AA24" s="28" t="s">
        <v>11</v>
      </c>
      <c r="AB24" s="28" t="s">
        <v>11</v>
      </c>
      <c r="AC24" s="28" t="s">
        <v>11</v>
      </c>
      <c r="AD24" s="28" t="s">
        <v>11</v>
      </c>
      <c r="AE24" s="28" t="s">
        <v>11</v>
      </c>
      <c r="AF24" s="29"/>
    </row>
    <row r="25" spans="1:3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</sheetData>
  <mergeCells count="40">
    <mergeCell ref="S5:U5"/>
    <mergeCell ref="V5:X5"/>
    <mergeCell ref="Z5:AD5"/>
    <mergeCell ref="B6:C6"/>
    <mergeCell ref="D6:G6"/>
    <mergeCell ref="H6:I6"/>
    <mergeCell ref="P6:R6"/>
    <mergeCell ref="S6:U6"/>
    <mergeCell ref="V6:X6"/>
    <mergeCell ref="AA6:AB6"/>
    <mergeCell ref="B5:C5"/>
    <mergeCell ref="D5:G5"/>
    <mergeCell ref="H5:I5"/>
    <mergeCell ref="M5:M7"/>
    <mergeCell ref="N5:O7"/>
    <mergeCell ref="P5:R5"/>
    <mergeCell ref="AC6:AD6"/>
    <mergeCell ref="B7:C7"/>
    <mergeCell ref="D7:G7"/>
    <mergeCell ref="H7:I7"/>
    <mergeCell ref="P7:R7"/>
    <mergeCell ref="S7:U7"/>
    <mergeCell ref="V7:X7"/>
    <mergeCell ref="AA7:AB7"/>
    <mergeCell ref="AC7:AD7"/>
    <mergeCell ref="A15:A16"/>
    <mergeCell ref="H10:I10"/>
    <mergeCell ref="A14:AF14"/>
    <mergeCell ref="AC8:AD8"/>
    <mergeCell ref="H9:I9"/>
    <mergeCell ref="N9:O9"/>
    <mergeCell ref="P9:R9"/>
    <mergeCell ref="S9:U9"/>
    <mergeCell ref="V9:X9"/>
    <mergeCell ref="H8:I8"/>
    <mergeCell ref="N8:O8"/>
    <mergeCell ref="P8:R8"/>
    <mergeCell ref="S8:U8"/>
    <mergeCell ref="V8:X8"/>
    <mergeCell ref="AA8:AB8"/>
  </mergeCells>
  <conditionalFormatting sqref="B3:AF3">
    <cfRule type="containsText" dxfId="257" priority="49" operator="containsText" text="FE">
      <formula>NOT(ISERROR(SEARCH("FE",B3)))</formula>
    </cfRule>
  </conditionalFormatting>
  <conditionalFormatting sqref="B17:AF24">
    <cfRule type="containsText" dxfId="256" priority="12" operator="containsText" text="HB">
      <formula>NOT(ISERROR(SEARCH("HB",B17)))</formula>
    </cfRule>
    <cfRule type="containsText" dxfId="255" priority="33" operator="containsText" text="OT">
      <formula>NOT(ISERROR(SEARCH("OT",B17)))</formula>
    </cfRule>
    <cfRule type="containsText" dxfId="254" priority="34" operator="containsText" text="SD">
      <formula>NOT(ISERROR(SEARCH("SD",B17)))</formula>
    </cfRule>
    <cfRule type="containsText" dxfId="253" priority="35" operator="containsText" text="E3">
      <formula>NOT(ISERROR(SEARCH("E3",B17)))</formula>
    </cfRule>
    <cfRule type="containsText" dxfId="252" priority="36" operator="containsText" text="E2">
      <formula>NOT(ISERROR(SEARCH("E2",B17)))</formula>
    </cfRule>
    <cfRule type="containsText" dxfId="251" priority="37" operator="containsText" text="E1">
      <formula>NOT(ISERROR(SEARCH("E1",B17)))</formula>
    </cfRule>
    <cfRule type="containsText" dxfId="250" priority="44" operator="containsText" text="DO">
      <formula>NOT(ISERROR(SEARCH("DO",B17)))</formula>
    </cfRule>
    <cfRule type="containsText" dxfId="249" priority="45" operator="containsText" text="VA">
      <formula>NOT(ISERROR(SEARCH("VA",B17)))</formula>
    </cfRule>
    <cfRule type="containsText" dxfId="248" priority="46" operator="containsText" text="T1">
      <formula>NOT(ISERROR(SEARCH("T1",B17)))</formula>
    </cfRule>
    <cfRule type="containsText" dxfId="247" priority="47" operator="containsText" text="T2">
      <formula>NOT(ISERROR(SEARCH("T2",B17)))</formula>
    </cfRule>
    <cfRule type="containsText" dxfId="246" priority="48" operator="containsText" text="T3">
      <formula>NOT(ISERROR(SEARCH("T3",B17)))</formula>
    </cfRule>
  </conditionalFormatting>
  <conditionalFormatting sqref="B15:AF15">
    <cfRule type="containsText" dxfId="245" priority="42" operator="containsText" text="DOM">
      <formula>NOT(ISERROR(SEARCH("DOM",B15)))</formula>
    </cfRule>
    <cfRule type="containsText" dxfId="244" priority="43" operator="containsText" text="SÁB">
      <formula>NOT(ISERROR(SEARCH("SÁB",B15)))</formula>
    </cfRule>
  </conditionalFormatting>
  <conditionalFormatting sqref="J7">
    <cfRule type="containsText" dxfId="243" priority="41" operator="containsText" text="FE">
      <formula>NOT(ISERROR(SEARCH("FE",J7)))</formula>
    </cfRule>
  </conditionalFormatting>
  <conditionalFormatting sqref="M5">
    <cfRule type="containsText" dxfId="242" priority="38" operator="containsText" text="T3">
      <formula>NOT(ISERROR(SEARCH("T3",M5)))</formula>
    </cfRule>
    <cfRule type="containsText" dxfId="241" priority="39" operator="containsText" text="T2">
      <formula>NOT(ISERROR(SEARCH("T2",M5)))</formula>
    </cfRule>
    <cfRule type="containsText" dxfId="240" priority="40" operator="containsText" text="T1">
      <formula>NOT(ISERROR(SEARCH("T1",M5)))</formula>
    </cfRule>
  </conditionalFormatting>
  <conditionalFormatting sqref="B16">
    <cfRule type="expression" dxfId="239" priority="50">
      <formula>$B$3="FE"</formula>
    </cfRule>
  </conditionalFormatting>
  <conditionalFormatting sqref="C16">
    <cfRule type="expression" dxfId="238" priority="51">
      <formula>$C$3="FE"</formula>
    </cfRule>
    <cfRule type="expression" dxfId="237" priority="52">
      <formula>$C$3="FE"</formula>
    </cfRule>
  </conditionalFormatting>
  <conditionalFormatting sqref="D16">
    <cfRule type="expression" dxfId="236" priority="53">
      <formula>$D$3="FE"</formula>
    </cfRule>
    <cfRule type="expression" dxfId="235" priority="54">
      <formula>$D$3="FE"</formula>
    </cfRule>
  </conditionalFormatting>
  <conditionalFormatting sqref="F16">
    <cfRule type="expression" dxfId="234" priority="55">
      <formula>$F$3="FE"</formula>
    </cfRule>
    <cfRule type="expression" dxfId="233" priority="56">
      <formula>$F$3="FE"</formula>
    </cfRule>
  </conditionalFormatting>
  <conditionalFormatting sqref="G16">
    <cfRule type="expression" dxfId="232" priority="57">
      <formula>$G$3="FE"</formula>
    </cfRule>
    <cfRule type="expression" dxfId="231" priority="58">
      <formula>$G$3="FE"</formula>
    </cfRule>
  </conditionalFormatting>
  <conditionalFormatting sqref="H16">
    <cfRule type="expression" dxfId="230" priority="59">
      <formula>$H$3="FE"</formula>
    </cfRule>
  </conditionalFormatting>
  <conditionalFormatting sqref="I16">
    <cfRule type="expression" dxfId="229" priority="60">
      <formula>$I$3="FE"</formula>
    </cfRule>
    <cfRule type="expression" dxfId="228" priority="61">
      <formula>$I$3="FE"</formula>
    </cfRule>
  </conditionalFormatting>
  <conditionalFormatting sqref="J16">
    <cfRule type="expression" dxfId="227" priority="62">
      <formula>$J$3="FE"</formula>
    </cfRule>
    <cfRule type="expression" dxfId="226" priority="63">
      <formula>$J$3="FE"</formula>
    </cfRule>
  </conditionalFormatting>
  <conditionalFormatting sqref="K16">
    <cfRule type="expression" dxfId="225" priority="64">
      <formula>$K$3="FE"</formula>
    </cfRule>
  </conditionalFormatting>
  <conditionalFormatting sqref="L16">
    <cfRule type="expression" dxfId="224" priority="65">
      <formula>$L$3="FE"</formula>
    </cfRule>
  </conditionalFormatting>
  <conditionalFormatting sqref="M16">
    <cfRule type="expression" dxfId="223" priority="66">
      <formula>$M$3="FE"</formula>
    </cfRule>
  </conditionalFormatting>
  <conditionalFormatting sqref="N16">
    <cfRule type="expression" dxfId="222" priority="67">
      <formula>$N$3="FE"</formula>
    </cfRule>
  </conditionalFormatting>
  <conditionalFormatting sqref="O16">
    <cfRule type="expression" dxfId="221" priority="68">
      <formula>$O$3="FE"</formula>
    </cfRule>
  </conditionalFormatting>
  <conditionalFormatting sqref="P16">
    <cfRule type="expression" dxfId="220" priority="69">
      <formula>$P$3="FE"</formula>
    </cfRule>
  </conditionalFormatting>
  <conditionalFormatting sqref="Q16">
    <cfRule type="expression" dxfId="219" priority="70">
      <formula>$Q$3="FE"</formula>
    </cfRule>
  </conditionalFormatting>
  <conditionalFormatting sqref="R16">
    <cfRule type="expression" dxfId="218" priority="71">
      <formula>$R$3="FE"</formula>
    </cfRule>
  </conditionalFormatting>
  <conditionalFormatting sqref="S16">
    <cfRule type="expression" dxfId="217" priority="72">
      <formula>$S$3="FE"</formula>
    </cfRule>
  </conditionalFormatting>
  <conditionalFormatting sqref="T16">
    <cfRule type="expression" dxfId="216" priority="73">
      <formula>$T$3="FE"</formula>
    </cfRule>
  </conditionalFormatting>
  <conditionalFormatting sqref="U16">
    <cfRule type="expression" dxfId="215" priority="74">
      <formula>$U$3="FE"</formula>
    </cfRule>
  </conditionalFormatting>
  <conditionalFormatting sqref="V16">
    <cfRule type="expression" dxfId="214" priority="75">
      <formula>$V$3="FE"</formula>
    </cfRule>
  </conditionalFormatting>
  <conditionalFormatting sqref="W16">
    <cfRule type="expression" dxfId="213" priority="76">
      <formula>$W$3="FE"</formula>
    </cfRule>
  </conditionalFormatting>
  <conditionalFormatting sqref="X16">
    <cfRule type="expression" dxfId="212" priority="77">
      <formula>$X$3="FE"</formula>
    </cfRule>
  </conditionalFormatting>
  <conditionalFormatting sqref="Y16">
    <cfRule type="expression" dxfId="211" priority="78">
      <formula>$Y$3="FE"</formula>
    </cfRule>
  </conditionalFormatting>
  <conditionalFormatting sqref="Z16">
    <cfRule type="expression" dxfId="210" priority="79">
      <formula>$Z$3="FE"</formula>
    </cfRule>
  </conditionalFormatting>
  <conditionalFormatting sqref="AA16">
    <cfRule type="expression" dxfId="209" priority="80">
      <formula>$AA$3="FE"</formula>
    </cfRule>
  </conditionalFormatting>
  <conditionalFormatting sqref="AB16">
    <cfRule type="expression" dxfId="208" priority="81">
      <formula>$AB$3="FE"</formula>
    </cfRule>
  </conditionalFormatting>
  <conditionalFormatting sqref="AC16">
    <cfRule type="expression" dxfId="207" priority="82">
      <formula>$AC$3="FE"</formula>
    </cfRule>
  </conditionalFormatting>
  <conditionalFormatting sqref="AD16">
    <cfRule type="expression" dxfId="206" priority="83">
      <formula>$AD$3="FE"</formula>
    </cfRule>
  </conditionalFormatting>
  <conditionalFormatting sqref="AE16">
    <cfRule type="expression" dxfId="205" priority="84">
      <formula>$AE$3="FE"</formula>
    </cfRule>
  </conditionalFormatting>
  <conditionalFormatting sqref="AF16">
    <cfRule type="expression" dxfId="204" priority="85">
      <formula>$AF$3="FE"</formula>
    </cfRule>
  </conditionalFormatting>
  <conditionalFormatting sqref="E16">
    <cfRule type="expression" dxfId="203" priority="86">
      <formula>$E$3="FE"</formula>
    </cfRule>
  </conditionalFormatting>
  <conditionalFormatting sqref="Z6:Z8 J5 J8:J10">
    <cfRule type="containsText" dxfId="202" priority="23" operator="containsText" text="OT">
      <formula>NOT(ISERROR(SEARCH("OT",J5)))</formula>
    </cfRule>
    <cfRule type="containsText" dxfId="201" priority="24" operator="containsText" text="SD">
      <formula>NOT(ISERROR(SEARCH("SD",J5)))</formula>
    </cfRule>
    <cfRule type="containsText" dxfId="200" priority="25" operator="containsText" text="E3">
      <formula>NOT(ISERROR(SEARCH("E3",J5)))</formula>
    </cfRule>
    <cfRule type="containsText" dxfId="199" priority="26" operator="containsText" text="E2">
      <formula>NOT(ISERROR(SEARCH("E2",J5)))</formula>
    </cfRule>
    <cfRule type="containsText" dxfId="198" priority="27" operator="containsText" text="E1">
      <formula>NOT(ISERROR(SEARCH("E1",J5)))</formula>
    </cfRule>
    <cfRule type="containsText" dxfId="197" priority="28" operator="containsText" text="DO">
      <formula>NOT(ISERROR(SEARCH("DO",J5)))</formula>
    </cfRule>
    <cfRule type="containsText" dxfId="196" priority="29" operator="containsText" text="VA">
      <formula>NOT(ISERROR(SEARCH("VA",J5)))</formula>
    </cfRule>
    <cfRule type="containsText" dxfId="195" priority="30" operator="containsText" text="T1">
      <formula>NOT(ISERROR(SEARCH("T1",J5)))</formula>
    </cfRule>
    <cfRule type="containsText" dxfId="194" priority="31" operator="containsText" text="T2">
      <formula>NOT(ISERROR(SEARCH("T2",J5)))</formula>
    </cfRule>
    <cfRule type="containsText" dxfId="193" priority="32" operator="containsText" text="T3">
      <formula>NOT(ISERROR(SEARCH("T3",J5)))</formula>
    </cfRule>
  </conditionalFormatting>
  <conditionalFormatting sqref="M8:M9">
    <cfRule type="containsText" dxfId="192" priority="13" operator="containsText" text="OT">
      <formula>NOT(ISERROR(SEARCH("OT",M8)))</formula>
    </cfRule>
    <cfRule type="containsText" dxfId="191" priority="14" operator="containsText" text="SD">
      <formula>NOT(ISERROR(SEARCH("SD",M8)))</formula>
    </cfRule>
    <cfRule type="containsText" dxfId="190" priority="15" operator="containsText" text="E3">
      <formula>NOT(ISERROR(SEARCH("E3",M8)))</formula>
    </cfRule>
    <cfRule type="containsText" dxfId="189" priority="16" operator="containsText" text="E2">
      <formula>NOT(ISERROR(SEARCH("E2",M8)))</formula>
    </cfRule>
    <cfRule type="containsText" dxfId="188" priority="17" operator="containsText" text="E1">
      <formula>NOT(ISERROR(SEARCH("E1",M8)))</formula>
    </cfRule>
    <cfRule type="containsText" dxfId="187" priority="18" operator="containsText" text="DO">
      <formula>NOT(ISERROR(SEARCH("DO",M8)))</formula>
    </cfRule>
    <cfRule type="containsText" dxfId="186" priority="19" operator="containsText" text="VA">
      <formula>NOT(ISERROR(SEARCH("VA",M8)))</formula>
    </cfRule>
    <cfRule type="containsText" dxfId="185" priority="20" operator="containsText" text="T1">
      <formula>NOT(ISERROR(SEARCH("T1",M8)))</formula>
    </cfRule>
    <cfRule type="containsText" dxfId="184" priority="21" operator="containsText" text="T2">
      <formula>NOT(ISERROR(SEARCH("T2",M8)))</formula>
    </cfRule>
    <cfRule type="containsText" dxfId="183" priority="22" operator="containsText" text="T3">
      <formula>NOT(ISERROR(SEARCH("T3",M8)))</formula>
    </cfRule>
  </conditionalFormatting>
  <conditionalFormatting sqref="J6">
    <cfRule type="containsText" dxfId="182" priority="1" operator="containsText" text="HB">
      <formula>NOT(ISERROR(SEARCH("HB",J6)))</formula>
    </cfRule>
    <cfRule type="containsText" dxfId="181" priority="2" operator="containsText" text="OT">
      <formula>NOT(ISERROR(SEARCH("OT",J6)))</formula>
    </cfRule>
    <cfRule type="containsText" dxfId="180" priority="3" operator="containsText" text="SD">
      <formula>NOT(ISERROR(SEARCH("SD",J6)))</formula>
    </cfRule>
    <cfRule type="containsText" dxfId="179" priority="4" operator="containsText" text="E3">
      <formula>NOT(ISERROR(SEARCH("E3",J6)))</formula>
    </cfRule>
    <cfRule type="containsText" dxfId="178" priority="5" operator="containsText" text="E2">
      <formula>NOT(ISERROR(SEARCH("E2",J6)))</formula>
    </cfRule>
    <cfRule type="containsText" dxfId="177" priority="6" operator="containsText" text="E1">
      <formula>NOT(ISERROR(SEARCH("E1",J6)))</formula>
    </cfRule>
    <cfRule type="containsText" dxfId="176" priority="7" operator="containsText" text="DO">
      <formula>NOT(ISERROR(SEARCH("DO",J6)))</formula>
    </cfRule>
    <cfRule type="containsText" dxfId="175" priority="8" operator="containsText" text="VA">
      <formula>NOT(ISERROR(SEARCH("VA",J6)))</formula>
    </cfRule>
    <cfRule type="containsText" dxfId="174" priority="9" operator="containsText" text="T1">
      <formula>NOT(ISERROR(SEARCH("T1",J6)))</formula>
    </cfRule>
    <cfRule type="containsText" dxfId="173" priority="10" operator="containsText" text="T2">
      <formula>NOT(ISERROR(SEARCH("T2",J6)))</formula>
    </cfRule>
    <cfRule type="containsText" dxfId="172" priority="11" operator="containsText" text="T3">
      <formula>NOT(ISERROR(SEARCH("T3",J6)))</formula>
    </cfRule>
  </conditionalFormatting>
  <dataValidations count="1">
    <dataValidation type="list" allowBlank="1" showInputMessage="1" showErrorMessage="1" sqref="M5" xr:uid="{66E93484-233C-4E4E-87A9-20CC4EDE4F36}">
      <formula1>#REF!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0A162DE-6333-4A98-B723-E44E79B6CEB4}">
          <x14:formula1>
            <xm:f>Configuração!$N$7:$N$23</xm:f>
          </x14:formula1>
          <xm:sqref>AC6:AD8</xm:sqref>
        </x14:dataValidation>
        <x14:dataValidation type="list" allowBlank="1" showInputMessage="1" showErrorMessage="1" xr:uid="{02BFA204-9FD5-436B-9A0D-64C169F386C1}">
          <x14:formula1>
            <xm:f>Configuração!$N$7:$N$1048576</xm:f>
          </x14:formula1>
          <xm:sqref>P5:P9</xm:sqref>
        </x14:dataValidation>
        <x14:dataValidation type="list" allowBlank="1" showInputMessage="1" showErrorMessage="1" xr:uid="{A0DAC76A-A83C-4AA9-9E1A-D222713D4B66}">
          <x14:formula1>
            <xm:f>Configuração!$U$7:$U$17</xm:f>
          </x14:formula1>
          <xm:sqref>J6</xm:sqref>
        </x14:dataValidation>
        <x14:dataValidation type="list" allowBlank="1" showInputMessage="1" showErrorMessage="1" xr:uid="{53FD4C49-B1BC-4959-8DCC-C6B55B457991}">
          <x14:formula1>
            <xm:f>Configuração!$U$7:$U$16</xm:f>
          </x14:formula1>
          <xm:sqref>Z6:Z8 J8:J10 J5 M8:M9</xm:sqref>
        </x14:dataValidation>
        <x14:dataValidation type="list" allowBlank="1" showInputMessage="1" showErrorMessage="1" xr:uid="{F59185AA-E95D-4016-B3E1-A50A4574ADBC}">
          <x14:formula1>
            <xm:f>Configuração!$L$7:$L$27</xm:f>
          </x14:formula1>
          <xm:sqref>S5:X9 A17:A24</xm:sqref>
        </x14:dataValidation>
        <x14:dataValidation type="list" allowBlank="1" showInputMessage="1" showErrorMessage="1" xr:uid="{08CFA44E-9495-4A0B-BB55-CCC3F18E00C4}">
          <x14:formula1>
            <xm:f>Configuração!$Q$6:$Q$56</xm:f>
          </x14:formula1>
          <xm:sqref>D5:G5</xm:sqref>
        </x14:dataValidation>
        <x14:dataValidation type="list" allowBlank="1" showInputMessage="1" showErrorMessage="1" xr:uid="{B13776BF-AA22-4EFC-8240-4C12E10E69BC}">
          <x14:formula1>
            <xm:f>Configuração!$U$7:$U$22</xm:f>
          </x14:formula1>
          <xm:sqref>B17:AF37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6A6B3-981C-46FC-A74C-35E86F0AC32B}">
  <sheetPr codeName="Planilha14"/>
  <dimension ref="A1:AF40"/>
  <sheetViews>
    <sheetView zoomScale="90" zoomScaleNormal="90" workbookViewId="0">
      <selection activeCell="AG1" sqref="AG1"/>
    </sheetView>
  </sheetViews>
  <sheetFormatPr defaultRowHeight="14.4" x14ac:dyDescent="0.3"/>
  <cols>
    <col min="1" max="1" width="11.77734375" bestFit="1" customWidth="1"/>
    <col min="2" max="32" width="6.6640625" customWidth="1"/>
  </cols>
  <sheetData>
    <row r="1" spans="1:32" ht="31.2" x14ac:dyDescent="0.3">
      <c r="A1" s="12"/>
      <c r="B1" s="12"/>
      <c r="C1" s="12"/>
      <c r="D1" s="12"/>
      <c r="E1" s="13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 ht="78.75" customHeight="1" x14ac:dyDescent="0.3">
      <c r="A2" s="14"/>
      <c r="B2" s="14"/>
      <c r="C2" s="14"/>
      <c r="D2" s="14"/>
      <c r="E2" s="1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32" ht="15" hidden="1" thickBot="1" x14ac:dyDescent="0.35">
      <c r="A3" s="8" t="s">
        <v>13</v>
      </c>
      <c r="B3" s="9" t="str">
        <f>IF(MONTH(D5)=5,"FE",IF(MONTH(D5)=1,"FE",""))</f>
        <v/>
      </c>
      <c r="C3" s="10" t="str">
        <f>IF(MONTH(D5)=11,"FE","")</f>
        <v>FE</v>
      </c>
      <c r="D3" s="10"/>
      <c r="E3" s="10" t="str">
        <f>IF(MONTH(D5)=3,"FE","")</f>
        <v/>
      </c>
      <c r="F3" s="10"/>
      <c r="G3" s="10"/>
      <c r="H3" s="10" t="str">
        <f>IF(MONTH(D5)=9,"FE","")</f>
        <v/>
      </c>
      <c r="I3" s="10"/>
      <c r="J3" s="10"/>
      <c r="K3" s="10"/>
      <c r="L3" s="10"/>
      <c r="M3" s="10" t="str">
        <f>IF(MONTH(D5)=10,"FE","")</f>
        <v/>
      </c>
      <c r="N3" s="10"/>
      <c r="O3" s="10"/>
      <c r="P3" s="10" t="str">
        <f>IF(MONTH(D5)=11,"FE","")</f>
        <v>FE</v>
      </c>
      <c r="Q3" s="10"/>
      <c r="R3" s="10"/>
      <c r="S3" s="10"/>
      <c r="T3" s="10"/>
      <c r="U3" s="10" t="str">
        <f>IF(MONTH(D5)=11,"FE","")</f>
        <v>FE</v>
      </c>
      <c r="V3" s="10" t="str">
        <f>IF(MONTH(D5)=4,"FE","")</f>
        <v/>
      </c>
      <c r="W3" s="10"/>
      <c r="X3" s="10"/>
      <c r="Y3" s="10"/>
      <c r="Z3" s="10" t="str">
        <f>IF(MONTH(D5)=12,"FE",IF(MONTH(D5)=1,"FE",""))</f>
        <v/>
      </c>
      <c r="AA3" s="10"/>
      <c r="AB3" s="10"/>
      <c r="AC3" s="10"/>
      <c r="AD3" s="10"/>
      <c r="AE3" s="10" t="str">
        <f>IF(MONTH(D5)=5,"FE","")</f>
        <v/>
      </c>
      <c r="AF3" s="11"/>
    </row>
    <row r="4" spans="1:3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3">
      <c r="A5" s="1"/>
      <c r="B5" s="72" t="s">
        <v>14</v>
      </c>
      <c r="C5" s="72"/>
      <c r="D5" s="73">
        <v>46327</v>
      </c>
      <c r="E5" s="73"/>
      <c r="F5" s="73"/>
      <c r="G5" s="73"/>
      <c r="H5" s="81" t="s">
        <v>68</v>
      </c>
      <c r="I5" s="82"/>
      <c r="J5" s="17" t="s">
        <v>67</v>
      </c>
      <c r="K5" s="1"/>
      <c r="L5" s="1"/>
      <c r="M5" s="76" t="s">
        <v>3</v>
      </c>
      <c r="N5" s="77" t="s">
        <v>17</v>
      </c>
      <c r="O5" s="77"/>
      <c r="P5" s="75" t="s">
        <v>83</v>
      </c>
      <c r="Q5" s="75"/>
      <c r="R5" s="75"/>
      <c r="S5" s="75" t="s">
        <v>7</v>
      </c>
      <c r="T5" s="75"/>
      <c r="U5" s="75"/>
      <c r="V5" s="75" t="s">
        <v>80</v>
      </c>
      <c r="W5" s="75"/>
      <c r="X5" s="75"/>
      <c r="Y5" s="1"/>
      <c r="Z5" s="80" t="s">
        <v>18</v>
      </c>
      <c r="AA5" s="80"/>
      <c r="AB5" s="80"/>
      <c r="AC5" s="80"/>
      <c r="AD5" s="80"/>
      <c r="AE5" s="1"/>
      <c r="AF5" s="1"/>
    </row>
    <row r="6" spans="1:32" x14ac:dyDescent="0.3">
      <c r="A6" s="1"/>
      <c r="B6" s="72" t="s">
        <v>19</v>
      </c>
      <c r="C6" s="72"/>
      <c r="D6" s="74">
        <f>EOMONTH(D5,0)</f>
        <v>46356</v>
      </c>
      <c r="E6" s="74"/>
      <c r="F6" s="74"/>
      <c r="G6" s="74"/>
      <c r="H6" s="81" t="s">
        <v>82</v>
      </c>
      <c r="I6" s="82"/>
      <c r="J6" s="18" t="s">
        <v>81</v>
      </c>
      <c r="K6" s="1"/>
      <c r="L6" s="1"/>
      <c r="M6" s="76"/>
      <c r="N6" s="77"/>
      <c r="O6" s="77"/>
      <c r="P6" s="75" t="s">
        <v>94</v>
      </c>
      <c r="Q6" s="75"/>
      <c r="R6" s="75"/>
      <c r="S6" s="75" t="s">
        <v>6</v>
      </c>
      <c r="T6" s="75"/>
      <c r="U6" s="75"/>
      <c r="V6" s="75"/>
      <c r="W6" s="75"/>
      <c r="X6" s="75"/>
      <c r="Y6" s="1"/>
      <c r="Z6" s="19" t="s">
        <v>22</v>
      </c>
      <c r="AA6" s="77" t="s">
        <v>23</v>
      </c>
      <c r="AB6" s="77"/>
      <c r="AC6" s="75" t="s">
        <v>83</v>
      </c>
      <c r="AD6" s="75"/>
      <c r="AE6" s="1"/>
      <c r="AF6" s="1"/>
    </row>
    <row r="7" spans="1:32" x14ac:dyDescent="0.3">
      <c r="A7" s="1"/>
      <c r="B7" s="72" t="s">
        <v>24</v>
      </c>
      <c r="C7" s="72"/>
      <c r="D7" s="75">
        <f>DAY(D6)</f>
        <v>30</v>
      </c>
      <c r="E7" s="75"/>
      <c r="F7" s="75"/>
      <c r="G7" s="75"/>
      <c r="H7" s="78" t="s">
        <v>25</v>
      </c>
      <c r="I7" s="79"/>
      <c r="J7" s="19" t="s">
        <v>26</v>
      </c>
      <c r="K7" s="1"/>
      <c r="L7" s="1"/>
      <c r="M7" s="76"/>
      <c r="N7" s="77"/>
      <c r="O7" s="77"/>
      <c r="P7" s="75" t="s">
        <v>27</v>
      </c>
      <c r="Q7" s="75"/>
      <c r="R7" s="75"/>
      <c r="S7" s="75" t="s">
        <v>73</v>
      </c>
      <c r="T7" s="75"/>
      <c r="U7" s="75"/>
      <c r="V7" s="75"/>
      <c r="W7" s="75"/>
      <c r="X7" s="75"/>
      <c r="Y7" s="1"/>
      <c r="Z7" s="19" t="s">
        <v>28</v>
      </c>
      <c r="AA7" s="77" t="s">
        <v>29</v>
      </c>
      <c r="AB7" s="77"/>
      <c r="AC7" s="75" t="s">
        <v>30</v>
      </c>
      <c r="AD7" s="75"/>
      <c r="AE7" s="1"/>
      <c r="AF7" s="1"/>
    </row>
    <row r="8" spans="1:32" x14ac:dyDescent="0.3">
      <c r="A8" s="1"/>
      <c r="B8" s="1"/>
      <c r="C8" s="1"/>
      <c r="D8" s="1"/>
      <c r="E8" s="1"/>
      <c r="F8" s="1"/>
      <c r="G8" s="1"/>
      <c r="H8" s="78" t="s">
        <v>15</v>
      </c>
      <c r="I8" s="79"/>
      <c r="J8" s="19" t="s">
        <v>16</v>
      </c>
      <c r="K8" s="1"/>
      <c r="L8" s="1"/>
      <c r="M8" s="19" t="s">
        <v>8</v>
      </c>
      <c r="N8" s="77" t="s">
        <v>29</v>
      </c>
      <c r="O8" s="77"/>
      <c r="P8" s="75" t="s">
        <v>30</v>
      </c>
      <c r="Q8" s="75"/>
      <c r="R8" s="75"/>
      <c r="S8" s="75" t="s">
        <v>9</v>
      </c>
      <c r="T8" s="75"/>
      <c r="U8" s="75"/>
      <c r="V8" s="75" t="s">
        <v>74</v>
      </c>
      <c r="W8" s="75"/>
      <c r="X8" s="75"/>
      <c r="Y8" s="1"/>
      <c r="Z8" s="19" t="s">
        <v>31</v>
      </c>
      <c r="AA8" s="77" t="s">
        <v>32</v>
      </c>
      <c r="AB8" s="77"/>
      <c r="AC8" s="75" t="s">
        <v>84</v>
      </c>
      <c r="AD8" s="75"/>
      <c r="AE8" s="1"/>
      <c r="AF8" s="1"/>
    </row>
    <row r="9" spans="1:32" x14ac:dyDescent="0.3">
      <c r="A9" s="1"/>
      <c r="B9" s="1"/>
      <c r="C9" s="1"/>
      <c r="D9" s="1"/>
      <c r="E9" s="1"/>
      <c r="F9" s="1"/>
      <c r="G9" s="1"/>
      <c r="H9" s="78" t="s">
        <v>20</v>
      </c>
      <c r="I9" s="79"/>
      <c r="J9" s="19" t="s">
        <v>21</v>
      </c>
      <c r="K9" s="1"/>
      <c r="L9" s="1"/>
      <c r="M9" s="19" t="s">
        <v>11</v>
      </c>
      <c r="N9" s="77" t="s">
        <v>33</v>
      </c>
      <c r="O9" s="77"/>
      <c r="P9" s="75" t="s">
        <v>84</v>
      </c>
      <c r="Q9" s="75"/>
      <c r="R9" s="75"/>
      <c r="S9" s="75" t="s">
        <v>10</v>
      </c>
      <c r="T9" s="75"/>
      <c r="U9" s="75"/>
      <c r="V9" s="75" t="s">
        <v>12</v>
      </c>
      <c r="W9" s="75"/>
      <c r="X9" s="75"/>
      <c r="Y9" s="1"/>
      <c r="Z9" s="1"/>
      <c r="AA9" s="1"/>
      <c r="AB9" s="1"/>
      <c r="AC9" s="1"/>
      <c r="AD9" s="1"/>
      <c r="AE9" s="1"/>
      <c r="AF9" s="1"/>
    </row>
    <row r="10" spans="1:32" x14ac:dyDescent="0.3">
      <c r="A10" s="1"/>
      <c r="B10" s="1"/>
      <c r="C10" s="1"/>
      <c r="D10" s="1"/>
      <c r="E10" s="1"/>
      <c r="F10" s="1"/>
      <c r="G10" s="1"/>
      <c r="H10" s="81" t="s">
        <v>70</v>
      </c>
      <c r="I10" s="82"/>
      <c r="J10" s="19" t="s">
        <v>69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22.8" x14ac:dyDescent="0.3">
      <c r="A14" s="69" t="s">
        <v>0</v>
      </c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1"/>
    </row>
    <row r="15" spans="1:32" x14ac:dyDescent="0.3">
      <c r="A15" s="114" t="s">
        <v>1</v>
      </c>
      <c r="B15" s="20" t="str">
        <f>UPPER(TEXT(B16,"[$]ddd"))</f>
        <v>DOM</v>
      </c>
      <c r="C15" s="20" t="str">
        <f t="shared" ref="C15:AF15" si="0">UPPER(TEXT(C16,"[$]ddd"))</f>
        <v>SEG</v>
      </c>
      <c r="D15" s="20" t="str">
        <f t="shared" si="0"/>
        <v>TER</v>
      </c>
      <c r="E15" s="20" t="str">
        <f t="shared" si="0"/>
        <v>QUA</v>
      </c>
      <c r="F15" s="20" t="str">
        <f t="shared" si="0"/>
        <v>QUI</v>
      </c>
      <c r="G15" s="20" t="str">
        <f t="shared" si="0"/>
        <v>SEX</v>
      </c>
      <c r="H15" s="20" t="str">
        <f t="shared" si="0"/>
        <v>SÁB</v>
      </c>
      <c r="I15" s="20" t="str">
        <f t="shared" si="0"/>
        <v>DOM</v>
      </c>
      <c r="J15" s="20" t="str">
        <f t="shared" si="0"/>
        <v>SEG</v>
      </c>
      <c r="K15" s="20" t="str">
        <f t="shared" si="0"/>
        <v>TER</v>
      </c>
      <c r="L15" s="20" t="str">
        <f t="shared" si="0"/>
        <v>QUA</v>
      </c>
      <c r="M15" s="20" t="str">
        <f t="shared" si="0"/>
        <v>QUI</v>
      </c>
      <c r="N15" s="20" t="str">
        <f t="shared" si="0"/>
        <v>SEX</v>
      </c>
      <c r="O15" s="20" t="str">
        <f t="shared" si="0"/>
        <v>SÁB</v>
      </c>
      <c r="P15" s="20" t="str">
        <f t="shared" si="0"/>
        <v>DOM</v>
      </c>
      <c r="Q15" s="20" t="str">
        <f t="shared" si="0"/>
        <v>SEG</v>
      </c>
      <c r="R15" s="20" t="str">
        <f t="shared" si="0"/>
        <v>TER</v>
      </c>
      <c r="S15" s="20" t="str">
        <f t="shared" si="0"/>
        <v>QUA</v>
      </c>
      <c r="T15" s="20" t="str">
        <f t="shared" si="0"/>
        <v>QUI</v>
      </c>
      <c r="U15" s="20" t="str">
        <f t="shared" si="0"/>
        <v>SEX</v>
      </c>
      <c r="V15" s="20" t="str">
        <f t="shared" si="0"/>
        <v>SÁB</v>
      </c>
      <c r="W15" s="20" t="str">
        <f t="shared" si="0"/>
        <v>DOM</v>
      </c>
      <c r="X15" s="20" t="str">
        <f t="shared" si="0"/>
        <v>SEG</v>
      </c>
      <c r="Y15" s="20" t="str">
        <f t="shared" si="0"/>
        <v>TER</v>
      </c>
      <c r="Z15" s="20" t="str">
        <f t="shared" si="0"/>
        <v>QUA</v>
      </c>
      <c r="AA15" s="20" t="str">
        <f t="shared" si="0"/>
        <v>QUI</v>
      </c>
      <c r="AB15" s="20" t="str">
        <f t="shared" si="0"/>
        <v>SEX</v>
      </c>
      <c r="AC15" s="20" t="str">
        <f t="shared" si="0"/>
        <v>SÁB</v>
      </c>
      <c r="AD15" s="20" t="str">
        <f t="shared" si="0"/>
        <v>DOM</v>
      </c>
      <c r="AE15" s="20" t="str">
        <f t="shared" si="0"/>
        <v>SEG</v>
      </c>
      <c r="AF15" s="21" t="str">
        <f t="shared" si="0"/>
        <v>TER</v>
      </c>
    </row>
    <row r="16" spans="1:32" x14ac:dyDescent="0.3">
      <c r="A16" s="115"/>
      <c r="B16" s="22">
        <f>D5</f>
        <v>46327</v>
      </c>
      <c r="C16" s="23">
        <f>B16+1</f>
        <v>46328</v>
      </c>
      <c r="D16" s="23">
        <f t="shared" ref="D16:AF16" si="1">C16+1</f>
        <v>46329</v>
      </c>
      <c r="E16" s="23">
        <f t="shared" si="1"/>
        <v>46330</v>
      </c>
      <c r="F16" s="23">
        <f t="shared" si="1"/>
        <v>46331</v>
      </c>
      <c r="G16" s="23">
        <f t="shared" si="1"/>
        <v>46332</v>
      </c>
      <c r="H16" s="23">
        <f t="shared" si="1"/>
        <v>46333</v>
      </c>
      <c r="I16" s="23">
        <f t="shared" si="1"/>
        <v>46334</v>
      </c>
      <c r="J16" s="23">
        <f t="shared" si="1"/>
        <v>46335</v>
      </c>
      <c r="K16" s="23">
        <f t="shared" si="1"/>
        <v>46336</v>
      </c>
      <c r="L16" s="23">
        <f t="shared" si="1"/>
        <v>46337</v>
      </c>
      <c r="M16" s="23">
        <f t="shared" si="1"/>
        <v>46338</v>
      </c>
      <c r="N16" s="23">
        <f t="shared" si="1"/>
        <v>46339</v>
      </c>
      <c r="O16" s="23">
        <f t="shared" si="1"/>
        <v>46340</v>
      </c>
      <c r="P16" s="23">
        <f t="shared" si="1"/>
        <v>46341</v>
      </c>
      <c r="Q16" s="23">
        <f t="shared" si="1"/>
        <v>46342</v>
      </c>
      <c r="R16" s="23">
        <f t="shared" si="1"/>
        <v>46343</v>
      </c>
      <c r="S16" s="23">
        <f t="shared" si="1"/>
        <v>46344</v>
      </c>
      <c r="T16" s="23">
        <f t="shared" si="1"/>
        <v>46345</v>
      </c>
      <c r="U16" s="23">
        <f t="shared" si="1"/>
        <v>46346</v>
      </c>
      <c r="V16" s="23">
        <f t="shared" si="1"/>
        <v>46347</v>
      </c>
      <c r="W16" s="23">
        <f t="shared" si="1"/>
        <v>46348</v>
      </c>
      <c r="X16" s="23">
        <f t="shared" si="1"/>
        <v>46349</v>
      </c>
      <c r="Y16" s="23">
        <f t="shared" si="1"/>
        <v>46350</v>
      </c>
      <c r="Z16" s="23">
        <f t="shared" si="1"/>
        <v>46351</v>
      </c>
      <c r="AA16" s="23">
        <f t="shared" si="1"/>
        <v>46352</v>
      </c>
      <c r="AB16" s="23">
        <f t="shared" si="1"/>
        <v>46353</v>
      </c>
      <c r="AC16" s="23">
        <f t="shared" si="1"/>
        <v>46354</v>
      </c>
      <c r="AD16" s="23">
        <f t="shared" si="1"/>
        <v>46355</v>
      </c>
      <c r="AE16" s="23">
        <f t="shared" si="1"/>
        <v>46356</v>
      </c>
      <c r="AF16" s="24">
        <f t="shared" si="1"/>
        <v>46357</v>
      </c>
    </row>
    <row r="17" spans="1:32" x14ac:dyDescent="0.3">
      <c r="A17" s="25" t="s">
        <v>7</v>
      </c>
      <c r="B17" s="19"/>
      <c r="C17" s="19" t="s">
        <v>3</v>
      </c>
      <c r="D17" s="19" t="s">
        <v>3</v>
      </c>
      <c r="E17" s="19" t="s">
        <v>3</v>
      </c>
      <c r="F17" s="19" t="s">
        <v>3</v>
      </c>
      <c r="G17" s="19" t="s">
        <v>3</v>
      </c>
      <c r="H17" s="19"/>
      <c r="I17" s="19"/>
      <c r="J17" s="19" t="s">
        <v>3</v>
      </c>
      <c r="K17" s="19" t="s">
        <v>3</v>
      </c>
      <c r="L17" s="19" t="s">
        <v>3</v>
      </c>
      <c r="M17" s="19" t="s">
        <v>3</v>
      </c>
      <c r="N17" s="19" t="s">
        <v>3</v>
      </c>
      <c r="O17" s="19"/>
      <c r="P17" s="19"/>
      <c r="Q17" s="19" t="s">
        <v>3</v>
      </c>
      <c r="R17" s="19" t="s">
        <v>3</v>
      </c>
      <c r="S17" s="19" t="s">
        <v>3</v>
      </c>
      <c r="T17" s="19" t="s">
        <v>3</v>
      </c>
      <c r="U17" s="19" t="s">
        <v>3</v>
      </c>
      <c r="V17" s="19"/>
      <c r="W17" s="19"/>
      <c r="X17" s="19" t="s">
        <v>3</v>
      </c>
      <c r="Y17" s="19" t="s">
        <v>3</v>
      </c>
      <c r="Z17" s="19" t="s">
        <v>3</v>
      </c>
      <c r="AA17" s="19" t="s">
        <v>3</v>
      </c>
      <c r="AB17" s="19" t="s">
        <v>3</v>
      </c>
      <c r="AC17" s="19"/>
      <c r="AD17" s="19"/>
      <c r="AE17" s="19" t="s">
        <v>3</v>
      </c>
      <c r="AF17" s="26" t="s">
        <v>3</v>
      </c>
    </row>
    <row r="18" spans="1:32" x14ac:dyDescent="0.3">
      <c r="A18" s="25" t="s">
        <v>80</v>
      </c>
      <c r="B18" s="19"/>
      <c r="C18" s="19" t="s">
        <v>3</v>
      </c>
      <c r="D18" s="19" t="s">
        <v>3</v>
      </c>
      <c r="E18" s="19" t="s">
        <v>3</v>
      </c>
      <c r="F18" s="19" t="s">
        <v>3</v>
      </c>
      <c r="G18" s="19" t="s">
        <v>3</v>
      </c>
      <c r="H18" s="19"/>
      <c r="I18" s="19"/>
      <c r="J18" s="19" t="s">
        <v>3</v>
      </c>
      <c r="K18" s="19" t="s">
        <v>3</v>
      </c>
      <c r="L18" s="19" t="s">
        <v>3</v>
      </c>
      <c r="M18" s="19" t="s">
        <v>3</v>
      </c>
      <c r="N18" s="19" t="s">
        <v>3</v>
      </c>
      <c r="O18" s="19"/>
      <c r="P18" s="19"/>
      <c r="Q18" s="19" t="s">
        <v>3</v>
      </c>
      <c r="R18" s="19" t="s">
        <v>3</v>
      </c>
      <c r="S18" s="19" t="s">
        <v>3</v>
      </c>
      <c r="T18" s="19" t="s">
        <v>3</v>
      </c>
      <c r="U18" s="19" t="s">
        <v>3</v>
      </c>
      <c r="V18" s="19"/>
      <c r="W18" s="19"/>
      <c r="X18" s="19" t="s">
        <v>3</v>
      </c>
      <c r="Y18" s="19" t="s">
        <v>3</v>
      </c>
      <c r="Z18" s="19" t="s">
        <v>3</v>
      </c>
      <c r="AA18" s="19" t="s">
        <v>3</v>
      </c>
      <c r="AB18" s="19" t="s">
        <v>3</v>
      </c>
      <c r="AC18" s="19"/>
      <c r="AD18" s="19"/>
      <c r="AE18" s="19" t="s">
        <v>3</v>
      </c>
      <c r="AF18" s="26" t="s">
        <v>3</v>
      </c>
    </row>
    <row r="19" spans="1:32" x14ac:dyDescent="0.3">
      <c r="A19" s="25" t="s">
        <v>6</v>
      </c>
      <c r="B19" s="19"/>
      <c r="C19" s="19" t="s">
        <v>3</v>
      </c>
      <c r="D19" s="19" t="s">
        <v>3</v>
      </c>
      <c r="E19" s="19" t="s">
        <v>3</v>
      </c>
      <c r="F19" s="19" t="s">
        <v>3</v>
      </c>
      <c r="G19" s="19" t="s">
        <v>3</v>
      </c>
      <c r="H19" s="19"/>
      <c r="I19" s="19"/>
      <c r="J19" s="19" t="s">
        <v>3</v>
      </c>
      <c r="K19" s="19" t="s">
        <v>3</v>
      </c>
      <c r="L19" s="19" t="s">
        <v>3</v>
      </c>
      <c r="M19" s="19" t="s">
        <v>3</v>
      </c>
      <c r="N19" s="19" t="s">
        <v>3</v>
      </c>
      <c r="O19" s="19"/>
      <c r="P19" s="19"/>
      <c r="Q19" s="19" t="s">
        <v>3</v>
      </c>
      <c r="R19" s="19" t="s">
        <v>3</v>
      </c>
      <c r="S19" s="19" t="s">
        <v>3</v>
      </c>
      <c r="T19" s="19" t="s">
        <v>3</v>
      </c>
      <c r="U19" s="19" t="s">
        <v>3</v>
      </c>
      <c r="V19" s="19"/>
      <c r="W19" s="19"/>
      <c r="X19" s="19" t="s">
        <v>3</v>
      </c>
      <c r="Y19" s="19" t="s">
        <v>3</v>
      </c>
      <c r="Z19" s="19" t="s">
        <v>3</v>
      </c>
      <c r="AA19" s="19" t="s">
        <v>3</v>
      </c>
      <c r="AB19" s="19" t="s">
        <v>3</v>
      </c>
      <c r="AC19" s="19"/>
      <c r="AD19" s="19"/>
      <c r="AE19" s="19" t="s">
        <v>3</v>
      </c>
      <c r="AF19" s="26" t="s">
        <v>3</v>
      </c>
    </row>
    <row r="20" spans="1:32" x14ac:dyDescent="0.3">
      <c r="A20" s="25" t="s">
        <v>73</v>
      </c>
      <c r="B20" s="19"/>
      <c r="C20" s="19" t="s">
        <v>3</v>
      </c>
      <c r="D20" s="19" t="s">
        <v>3</v>
      </c>
      <c r="E20" s="19" t="s">
        <v>3</v>
      </c>
      <c r="F20" s="19" t="s">
        <v>3</v>
      </c>
      <c r="G20" s="19" t="s">
        <v>3</v>
      </c>
      <c r="H20" s="19"/>
      <c r="I20" s="19"/>
      <c r="J20" s="19" t="s">
        <v>3</v>
      </c>
      <c r="K20" s="19" t="s">
        <v>3</v>
      </c>
      <c r="L20" s="19" t="s">
        <v>3</v>
      </c>
      <c r="M20" s="19" t="s">
        <v>3</v>
      </c>
      <c r="N20" s="19" t="s">
        <v>3</v>
      </c>
      <c r="O20" s="19"/>
      <c r="P20" s="19"/>
      <c r="Q20" s="19" t="s">
        <v>3</v>
      </c>
      <c r="R20" s="19" t="s">
        <v>3</v>
      </c>
      <c r="S20" s="19" t="s">
        <v>3</v>
      </c>
      <c r="T20" s="19" t="s">
        <v>3</v>
      </c>
      <c r="U20" s="19" t="s">
        <v>3</v>
      </c>
      <c r="V20" s="19"/>
      <c r="W20" s="19"/>
      <c r="X20" s="19" t="s">
        <v>3</v>
      </c>
      <c r="Y20" s="19" t="s">
        <v>3</v>
      </c>
      <c r="Z20" s="19" t="s">
        <v>3</v>
      </c>
      <c r="AA20" s="19" t="s">
        <v>3</v>
      </c>
      <c r="AB20" s="19" t="s">
        <v>3</v>
      </c>
      <c r="AC20" s="19"/>
      <c r="AD20" s="19"/>
      <c r="AE20" s="19" t="s">
        <v>3</v>
      </c>
      <c r="AF20" s="26" t="s">
        <v>3</v>
      </c>
    </row>
    <row r="21" spans="1:32" x14ac:dyDescent="0.3">
      <c r="A21" s="25" t="s">
        <v>9</v>
      </c>
      <c r="B21" s="19"/>
      <c r="C21" s="19" t="s">
        <v>8</v>
      </c>
      <c r="D21" s="19" t="s">
        <v>8</v>
      </c>
      <c r="E21" s="19" t="s">
        <v>8</v>
      </c>
      <c r="F21" s="19" t="s">
        <v>8</v>
      </c>
      <c r="G21" s="19" t="s">
        <v>8</v>
      </c>
      <c r="H21" s="19"/>
      <c r="I21" s="19"/>
      <c r="J21" s="19" t="s">
        <v>8</v>
      </c>
      <c r="K21" s="19" t="s">
        <v>8</v>
      </c>
      <c r="L21" s="19" t="s">
        <v>8</v>
      </c>
      <c r="M21" s="19" t="s">
        <v>8</v>
      </c>
      <c r="N21" s="19" t="s">
        <v>8</v>
      </c>
      <c r="O21" s="19"/>
      <c r="P21" s="19"/>
      <c r="Q21" s="19" t="s">
        <v>8</v>
      </c>
      <c r="R21" s="19" t="s">
        <v>8</v>
      </c>
      <c r="S21" s="19" t="s">
        <v>8</v>
      </c>
      <c r="T21" s="19" t="s">
        <v>8</v>
      </c>
      <c r="U21" s="19" t="s">
        <v>8</v>
      </c>
      <c r="V21" s="19"/>
      <c r="W21" s="19"/>
      <c r="X21" s="19" t="s">
        <v>8</v>
      </c>
      <c r="Y21" s="19" t="s">
        <v>8</v>
      </c>
      <c r="Z21" s="19" t="s">
        <v>8</v>
      </c>
      <c r="AA21" s="19" t="s">
        <v>8</v>
      </c>
      <c r="AB21" s="19" t="s">
        <v>8</v>
      </c>
      <c r="AC21" s="19"/>
      <c r="AD21" s="19"/>
      <c r="AE21" s="19" t="s">
        <v>8</v>
      </c>
      <c r="AF21" s="26" t="s">
        <v>8</v>
      </c>
    </row>
    <row r="22" spans="1:32" x14ac:dyDescent="0.3">
      <c r="A22" s="25" t="s">
        <v>74</v>
      </c>
      <c r="B22" s="19"/>
      <c r="C22" s="19" t="s">
        <v>8</v>
      </c>
      <c r="D22" s="19" t="s">
        <v>8</v>
      </c>
      <c r="E22" s="19" t="s">
        <v>8</v>
      </c>
      <c r="F22" s="19" t="s">
        <v>8</v>
      </c>
      <c r="G22" s="19" t="s">
        <v>8</v>
      </c>
      <c r="H22" s="19"/>
      <c r="I22" s="19"/>
      <c r="J22" s="19" t="s">
        <v>8</v>
      </c>
      <c r="K22" s="19" t="s">
        <v>8</v>
      </c>
      <c r="L22" s="19" t="s">
        <v>8</v>
      </c>
      <c r="M22" s="19" t="s">
        <v>8</v>
      </c>
      <c r="N22" s="19" t="s">
        <v>8</v>
      </c>
      <c r="O22" s="19"/>
      <c r="P22" s="19"/>
      <c r="Q22" s="19" t="s">
        <v>8</v>
      </c>
      <c r="R22" s="19" t="s">
        <v>8</v>
      </c>
      <c r="S22" s="19" t="s">
        <v>8</v>
      </c>
      <c r="T22" s="19" t="s">
        <v>8</v>
      </c>
      <c r="U22" s="19" t="s">
        <v>8</v>
      </c>
      <c r="V22" s="19"/>
      <c r="W22" s="19"/>
      <c r="X22" s="19" t="s">
        <v>8</v>
      </c>
      <c r="Y22" s="19" t="s">
        <v>8</v>
      </c>
      <c r="Z22" s="19" t="s">
        <v>8</v>
      </c>
      <c r="AA22" s="19" t="s">
        <v>8</v>
      </c>
      <c r="AB22" s="19" t="s">
        <v>8</v>
      </c>
      <c r="AC22" s="19"/>
      <c r="AD22" s="19"/>
      <c r="AE22" s="19" t="s">
        <v>8</v>
      </c>
      <c r="AF22" s="26" t="s">
        <v>8</v>
      </c>
    </row>
    <row r="23" spans="1:32" x14ac:dyDescent="0.3">
      <c r="A23" s="25" t="s">
        <v>10</v>
      </c>
      <c r="B23" s="19"/>
      <c r="C23" s="19" t="s">
        <v>11</v>
      </c>
      <c r="D23" s="19" t="s">
        <v>11</v>
      </c>
      <c r="E23" s="19" t="s">
        <v>11</v>
      </c>
      <c r="F23" s="19" t="s">
        <v>11</v>
      </c>
      <c r="G23" s="19" t="s">
        <v>11</v>
      </c>
      <c r="H23" s="19"/>
      <c r="I23" s="19"/>
      <c r="J23" s="19" t="s">
        <v>11</v>
      </c>
      <c r="K23" s="19" t="s">
        <v>11</v>
      </c>
      <c r="L23" s="19" t="s">
        <v>11</v>
      </c>
      <c r="M23" s="19" t="s">
        <v>11</v>
      </c>
      <c r="N23" s="19" t="s">
        <v>11</v>
      </c>
      <c r="O23" s="19"/>
      <c r="P23" s="19"/>
      <c r="Q23" s="19" t="s">
        <v>11</v>
      </c>
      <c r="R23" s="19" t="s">
        <v>11</v>
      </c>
      <c r="S23" s="19" t="s">
        <v>11</v>
      </c>
      <c r="T23" s="19" t="s">
        <v>11</v>
      </c>
      <c r="U23" s="19" t="s">
        <v>11</v>
      </c>
      <c r="V23" s="19"/>
      <c r="W23" s="19"/>
      <c r="X23" s="19" t="s">
        <v>11</v>
      </c>
      <c r="Y23" s="19" t="s">
        <v>11</v>
      </c>
      <c r="Z23" s="19" t="s">
        <v>11</v>
      </c>
      <c r="AA23" s="19" t="s">
        <v>11</v>
      </c>
      <c r="AB23" s="19" t="s">
        <v>11</v>
      </c>
      <c r="AC23" s="19"/>
      <c r="AD23" s="19"/>
      <c r="AE23" s="19" t="s">
        <v>11</v>
      </c>
      <c r="AF23" s="26" t="s">
        <v>11</v>
      </c>
    </row>
    <row r="24" spans="1:32" ht="15" thickBot="1" x14ac:dyDescent="0.35">
      <c r="A24" s="27" t="s">
        <v>12</v>
      </c>
      <c r="B24" s="28"/>
      <c r="C24" s="28" t="s">
        <v>11</v>
      </c>
      <c r="D24" s="28" t="s">
        <v>11</v>
      </c>
      <c r="E24" s="28" t="s">
        <v>11</v>
      </c>
      <c r="F24" s="28" t="s">
        <v>11</v>
      </c>
      <c r="G24" s="28" t="s">
        <v>11</v>
      </c>
      <c r="H24" s="28"/>
      <c r="I24" s="28"/>
      <c r="J24" s="28" t="s">
        <v>11</v>
      </c>
      <c r="K24" s="28" t="s">
        <v>11</v>
      </c>
      <c r="L24" s="28" t="s">
        <v>11</v>
      </c>
      <c r="M24" s="28" t="s">
        <v>11</v>
      </c>
      <c r="N24" s="28" t="s">
        <v>11</v>
      </c>
      <c r="O24" s="28"/>
      <c r="P24" s="28"/>
      <c r="Q24" s="28" t="s">
        <v>11</v>
      </c>
      <c r="R24" s="28" t="s">
        <v>11</v>
      </c>
      <c r="S24" s="28" t="s">
        <v>11</v>
      </c>
      <c r="T24" s="28" t="s">
        <v>11</v>
      </c>
      <c r="U24" s="28" t="s">
        <v>11</v>
      </c>
      <c r="V24" s="28"/>
      <c r="W24" s="28"/>
      <c r="X24" s="28" t="s">
        <v>11</v>
      </c>
      <c r="Y24" s="28" t="s">
        <v>11</v>
      </c>
      <c r="Z24" s="28" t="s">
        <v>11</v>
      </c>
      <c r="AA24" s="28" t="s">
        <v>11</v>
      </c>
      <c r="AB24" s="28" t="s">
        <v>11</v>
      </c>
      <c r="AC24" s="28"/>
      <c r="AD24" s="28"/>
      <c r="AE24" s="28" t="s">
        <v>11</v>
      </c>
      <c r="AF24" s="29" t="s">
        <v>11</v>
      </c>
    </row>
    <row r="25" spans="1:3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</sheetData>
  <mergeCells count="40">
    <mergeCell ref="S5:U5"/>
    <mergeCell ref="V5:X5"/>
    <mergeCell ref="Z5:AD5"/>
    <mergeCell ref="B6:C6"/>
    <mergeCell ref="D6:G6"/>
    <mergeCell ref="H6:I6"/>
    <mergeCell ref="P6:R6"/>
    <mergeCell ref="S6:U6"/>
    <mergeCell ref="V6:X6"/>
    <mergeCell ref="AA6:AB6"/>
    <mergeCell ref="B5:C5"/>
    <mergeCell ref="D5:G5"/>
    <mergeCell ref="H5:I5"/>
    <mergeCell ref="M5:M7"/>
    <mergeCell ref="N5:O7"/>
    <mergeCell ref="P5:R5"/>
    <mergeCell ref="AC6:AD6"/>
    <mergeCell ref="B7:C7"/>
    <mergeCell ref="D7:G7"/>
    <mergeCell ref="H7:I7"/>
    <mergeCell ref="P7:R7"/>
    <mergeCell ref="S7:U7"/>
    <mergeCell ref="V7:X7"/>
    <mergeCell ref="AA7:AB7"/>
    <mergeCell ref="AC7:AD7"/>
    <mergeCell ref="A15:A16"/>
    <mergeCell ref="H10:I10"/>
    <mergeCell ref="A14:AF14"/>
    <mergeCell ref="AC8:AD8"/>
    <mergeCell ref="H9:I9"/>
    <mergeCell ref="N9:O9"/>
    <mergeCell ref="P9:R9"/>
    <mergeCell ref="S9:U9"/>
    <mergeCell ref="V9:X9"/>
    <mergeCell ref="H8:I8"/>
    <mergeCell ref="N8:O8"/>
    <mergeCell ref="P8:R8"/>
    <mergeCell ref="S8:U8"/>
    <mergeCell ref="V8:X8"/>
    <mergeCell ref="AA8:AB8"/>
  </mergeCells>
  <conditionalFormatting sqref="B3:AF3">
    <cfRule type="containsText" dxfId="171" priority="49" operator="containsText" text="FE">
      <formula>NOT(ISERROR(SEARCH("FE",B3)))</formula>
    </cfRule>
  </conditionalFormatting>
  <conditionalFormatting sqref="B17:AF24">
    <cfRule type="containsText" dxfId="170" priority="12" operator="containsText" text="HB">
      <formula>NOT(ISERROR(SEARCH("HB",B17)))</formula>
    </cfRule>
    <cfRule type="containsText" dxfId="169" priority="33" operator="containsText" text="OT">
      <formula>NOT(ISERROR(SEARCH("OT",B17)))</formula>
    </cfRule>
    <cfRule type="containsText" dxfId="168" priority="34" operator="containsText" text="SD">
      <formula>NOT(ISERROR(SEARCH("SD",B17)))</formula>
    </cfRule>
    <cfRule type="containsText" dxfId="167" priority="35" operator="containsText" text="E3">
      <formula>NOT(ISERROR(SEARCH("E3",B17)))</formula>
    </cfRule>
    <cfRule type="containsText" dxfId="166" priority="36" operator="containsText" text="E2">
      <formula>NOT(ISERROR(SEARCH("E2",B17)))</formula>
    </cfRule>
    <cfRule type="containsText" dxfId="165" priority="37" operator="containsText" text="E1">
      <formula>NOT(ISERROR(SEARCH("E1",B17)))</formula>
    </cfRule>
    <cfRule type="containsText" dxfId="164" priority="44" operator="containsText" text="DO">
      <formula>NOT(ISERROR(SEARCH("DO",B17)))</formula>
    </cfRule>
    <cfRule type="containsText" dxfId="163" priority="45" operator="containsText" text="VA">
      <formula>NOT(ISERROR(SEARCH("VA",B17)))</formula>
    </cfRule>
    <cfRule type="containsText" dxfId="162" priority="46" operator="containsText" text="T1">
      <formula>NOT(ISERROR(SEARCH("T1",B17)))</formula>
    </cfRule>
    <cfRule type="containsText" dxfId="161" priority="47" operator="containsText" text="T2">
      <formula>NOT(ISERROR(SEARCH("T2",B17)))</formula>
    </cfRule>
    <cfRule type="containsText" dxfId="160" priority="48" operator="containsText" text="T3">
      <formula>NOT(ISERROR(SEARCH("T3",B17)))</formula>
    </cfRule>
  </conditionalFormatting>
  <conditionalFormatting sqref="B15:AF15">
    <cfRule type="containsText" dxfId="159" priority="42" operator="containsText" text="DOM">
      <formula>NOT(ISERROR(SEARCH("DOM",B15)))</formula>
    </cfRule>
    <cfRule type="containsText" dxfId="158" priority="43" operator="containsText" text="SÁB">
      <formula>NOT(ISERROR(SEARCH("SÁB",B15)))</formula>
    </cfRule>
  </conditionalFormatting>
  <conditionalFormatting sqref="J7">
    <cfRule type="containsText" dxfId="157" priority="41" operator="containsText" text="FE">
      <formula>NOT(ISERROR(SEARCH("FE",J7)))</formula>
    </cfRule>
  </conditionalFormatting>
  <conditionalFormatting sqref="M5">
    <cfRule type="containsText" dxfId="156" priority="38" operator="containsText" text="T3">
      <formula>NOT(ISERROR(SEARCH("T3",M5)))</formula>
    </cfRule>
    <cfRule type="containsText" dxfId="155" priority="39" operator="containsText" text="T2">
      <formula>NOT(ISERROR(SEARCH("T2",M5)))</formula>
    </cfRule>
    <cfRule type="containsText" dxfId="154" priority="40" operator="containsText" text="T1">
      <formula>NOT(ISERROR(SEARCH("T1",M5)))</formula>
    </cfRule>
  </conditionalFormatting>
  <conditionalFormatting sqref="B16">
    <cfRule type="expression" dxfId="153" priority="50">
      <formula>$B$3="FE"</formula>
    </cfRule>
  </conditionalFormatting>
  <conditionalFormatting sqref="C16">
    <cfRule type="expression" dxfId="152" priority="51">
      <formula>$C$3="FE"</formula>
    </cfRule>
    <cfRule type="expression" dxfId="151" priority="52">
      <formula>$C$3="FE"</formula>
    </cfRule>
  </conditionalFormatting>
  <conditionalFormatting sqref="D16">
    <cfRule type="expression" dxfId="150" priority="53">
      <formula>$D$3="FE"</formula>
    </cfRule>
    <cfRule type="expression" dxfId="149" priority="54">
      <formula>$D$3="FE"</formula>
    </cfRule>
  </conditionalFormatting>
  <conditionalFormatting sqref="F16">
    <cfRule type="expression" dxfId="148" priority="55">
      <formula>$F$3="FE"</formula>
    </cfRule>
    <cfRule type="expression" dxfId="147" priority="56">
      <formula>$F$3="FE"</formula>
    </cfRule>
  </conditionalFormatting>
  <conditionalFormatting sqref="G16">
    <cfRule type="expression" dxfId="146" priority="57">
      <formula>$G$3="FE"</formula>
    </cfRule>
    <cfRule type="expression" dxfId="145" priority="58">
      <formula>$G$3="FE"</formula>
    </cfRule>
  </conditionalFormatting>
  <conditionalFormatting sqref="H16">
    <cfRule type="expression" dxfId="144" priority="59">
      <formula>$H$3="FE"</formula>
    </cfRule>
  </conditionalFormatting>
  <conditionalFormatting sqref="I16">
    <cfRule type="expression" dxfId="143" priority="60">
      <formula>$I$3="FE"</formula>
    </cfRule>
    <cfRule type="expression" dxfId="142" priority="61">
      <formula>$I$3="FE"</formula>
    </cfRule>
  </conditionalFormatting>
  <conditionalFormatting sqref="J16">
    <cfRule type="expression" dxfId="141" priority="62">
      <formula>$J$3="FE"</formula>
    </cfRule>
    <cfRule type="expression" dxfId="140" priority="63">
      <formula>$J$3="FE"</formula>
    </cfRule>
  </conditionalFormatting>
  <conditionalFormatting sqref="K16">
    <cfRule type="expression" dxfId="139" priority="64">
      <formula>$K$3="FE"</formula>
    </cfRule>
  </conditionalFormatting>
  <conditionalFormatting sqref="L16">
    <cfRule type="expression" dxfId="138" priority="65">
      <formula>$L$3="FE"</formula>
    </cfRule>
  </conditionalFormatting>
  <conditionalFormatting sqref="M16">
    <cfRule type="expression" dxfId="137" priority="66">
      <formula>$M$3="FE"</formula>
    </cfRule>
  </conditionalFormatting>
  <conditionalFormatting sqref="N16">
    <cfRule type="expression" dxfId="136" priority="67">
      <formula>$N$3="FE"</formula>
    </cfRule>
  </conditionalFormatting>
  <conditionalFormatting sqref="O16">
    <cfRule type="expression" dxfId="135" priority="68">
      <formula>$O$3="FE"</formula>
    </cfRule>
  </conditionalFormatting>
  <conditionalFormatting sqref="P16">
    <cfRule type="expression" dxfId="134" priority="69">
      <formula>$P$3="FE"</formula>
    </cfRule>
  </conditionalFormatting>
  <conditionalFormatting sqref="Q16">
    <cfRule type="expression" dxfId="133" priority="70">
      <formula>$Q$3="FE"</formula>
    </cfRule>
  </conditionalFormatting>
  <conditionalFormatting sqref="R16">
    <cfRule type="expression" dxfId="132" priority="71">
      <formula>$R$3="FE"</formula>
    </cfRule>
  </conditionalFormatting>
  <conditionalFormatting sqref="S16">
    <cfRule type="expression" dxfId="131" priority="72">
      <formula>$S$3="FE"</formula>
    </cfRule>
  </conditionalFormatting>
  <conditionalFormatting sqref="T16">
    <cfRule type="expression" dxfId="130" priority="73">
      <formula>$T$3="FE"</formula>
    </cfRule>
  </conditionalFormatting>
  <conditionalFormatting sqref="U16">
    <cfRule type="expression" dxfId="129" priority="74">
      <formula>$U$3="FE"</formula>
    </cfRule>
  </conditionalFormatting>
  <conditionalFormatting sqref="V16">
    <cfRule type="expression" dxfId="128" priority="75">
      <formula>$V$3="FE"</formula>
    </cfRule>
  </conditionalFormatting>
  <conditionalFormatting sqref="W16">
    <cfRule type="expression" dxfId="127" priority="76">
      <formula>$W$3="FE"</formula>
    </cfRule>
  </conditionalFormatting>
  <conditionalFormatting sqref="X16">
    <cfRule type="expression" dxfId="126" priority="77">
      <formula>$X$3="FE"</formula>
    </cfRule>
  </conditionalFormatting>
  <conditionalFormatting sqref="Y16">
    <cfRule type="expression" dxfId="125" priority="78">
      <formula>$Y$3="FE"</formula>
    </cfRule>
  </conditionalFormatting>
  <conditionalFormatting sqref="Z16">
    <cfRule type="expression" dxfId="124" priority="79">
      <formula>$Z$3="FE"</formula>
    </cfRule>
  </conditionalFormatting>
  <conditionalFormatting sqref="AA16">
    <cfRule type="expression" dxfId="123" priority="80">
      <formula>$AA$3="FE"</formula>
    </cfRule>
  </conditionalFormatting>
  <conditionalFormatting sqref="AB16">
    <cfRule type="expression" dxfId="122" priority="81">
      <formula>$AB$3="FE"</formula>
    </cfRule>
  </conditionalFormatting>
  <conditionalFormatting sqref="AC16">
    <cfRule type="expression" dxfId="121" priority="82">
      <formula>$AC$3="FE"</formula>
    </cfRule>
  </conditionalFormatting>
  <conditionalFormatting sqref="AD16">
    <cfRule type="expression" dxfId="120" priority="83">
      <formula>$AD$3="FE"</formula>
    </cfRule>
  </conditionalFormatting>
  <conditionalFormatting sqref="AE16">
    <cfRule type="expression" dxfId="119" priority="84">
      <formula>$AE$3="FE"</formula>
    </cfRule>
  </conditionalFormatting>
  <conditionalFormatting sqref="AF16">
    <cfRule type="expression" dxfId="118" priority="85">
      <formula>$AF$3="FE"</formula>
    </cfRule>
  </conditionalFormatting>
  <conditionalFormatting sqref="E16">
    <cfRule type="expression" dxfId="117" priority="86">
      <formula>$E$3="FE"</formula>
    </cfRule>
  </conditionalFormatting>
  <conditionalFormatting sqref="Z6:Z8 J5 J8:J10">
    <cfRule type="containsText" dxfId="116" priority="23" operator="containsText" text="OT">
      <formula>NOT(ISERROR(SEARCH("OT",J5)))</formula>
    </cfRule>
    <cfRule type="containsText" dxfId="115" priority="24" operator="containsText" text="SD">
      <formula>NOT(ISERROR(SEARCH("SD",J5)))</formula>
    </cfRule>
    <cfRule type="containsText" dxfId="114" priority="25" operator="containsText" text="E3">
      <formula>NOT(ISERROR(SEARCH("E3",J5)))</formula>
    </cfRule>
    <cfRule type="containsText" dxfId="113" priority="26" operator="containsText" text="E2">
      <formula>NOT(ISERROR(SEARCH("E2",J5)))</formula>
    </cfRule>
    <cfRule type="containsText" dxfId="112" priority="27" operator="containsText" text="E1">
      <formula>NOT(ISERROR(SEARCH("E1",J5)))</formula>
    </cfRule>
    <cfRule type="containsText" dxfId="111" priority="28" operator="containsText" text="DO">
      <formula>NOT(ISERROR(SEARCH("DO",J5)))</formula>
    </cfRule>
    <cfRule type="containsText" dxfId="110" priority="29" operator="containsText" text="VA">
      <formula>NOT(ISERROR(SEARCH("VA",J5)))</formula>
    </cfRule>
    <cfRule type="containsText" dxfId="109" priority="30" operator="containsText" text="T1">
      <formula>NOT(ISERROR(SEARCH("T1",J5)))</formula>
    </cfRule>
    <cfRule type="containsText" dxfId="108" priority="31" operator="containsText" text="T2">
      <formula>NOT(ISERROR(SEARCH("T2",J5)))</formula>
    </cfRule>
    <cfRule type="containsText" dxfId="107" priority="32" operator="containsText" text="T3">
      <formula>NOT(ISERROR(SEARCH("T3",J5)))</formula>
    </cfRule>
  </conditionalFormatting>
  <conditionalFormatting sqref="M8:M9">
    <cfRule type="containsText" dxfId="106" priority="13" operator="containsText" text="OT">
      <formula>NOT(ISERROR(SEARCH("OT",M8)))</formula>
    </cfRule>
    <cfRule type="containsText" dxfId="105" priority="14" operator="containsText" text="SD">
      <formula>NOT(ISERROR(SEARCH("SD",M8)))</formula>
    </cfRule>
    <cfRule type="containsText" dxfId="104" priority="15" operator="containsText" text="E3">
      <formula>NOT(ISERROR(SEARCH("E3",M8)))</formula>
    </cfRule>
    <cfRule type="containsText" dxfId="103" priority="16" operator="containsText" text="E2">
      <formula>NOT(ISERROR(SEARCH("E2",M8)))</formula>
    </cfRule>
    <cfRule type="containsText" dxfId="102" priority="17" operator="containsText" text="E1">
      <formula>NOT(ISERROR(SEARCH("E1",M8)))</formula>
    </cfRule>
    <cfRule type="containsText" dxfId="101" priority="18" operator="containsText" text="DO">
      <formula>NOT(ISERROR(SEARCH("DO",M8)))</formula>
    </cfRule>
    <cfRule type="containsText" dxfId="100" priority="19" operator="containsText" text="VA">
      <formula>NOT(ISERROR(SEARCH("VA",M8)))</formula>
    </cfRule>
    <cfRule type="containsText" dxfId="99" priority="20" operator="containsText" text="T1">
      <formula>NOT(ISERROR(SEARCH("T1",M8)))</formula>
    </cfRule>
    <cfRule type="containsText" dxfId="98" priority="21" operator="containsText" text="T2">
      <formula>NOT(ISERROR(SEARCH("T2",M8)))</formula>
    </cfRule>
    <cfRule type="containsText" dxfId="97" priority="22" operator="containsText" text="T3">
      <formula>NOT(ISERROR(SEARCH("T3",M8)))</formula>
    </cfRule>
  </conditionalFormatting>
  <conditionalFormatting sqref="J6">
    <cfRule type="containsText" dxfId="96" priority="1" operator="containsText" text="HB">
      <formula>NOT(ISERROR(SEARCH("HB",J6)))</formula>
    </cfRule>
    <cfRule type="containsText" dxfId="95" priority="2" operator="containsText" text="OT">
      <formula>NOT(ISERROR(SEARCH("OT",J6)))</formula>
    </cfRule>
    <cfRule type="containsText" dxfId="94" priority="3" operator="containsText" text="SD">
      <formula>NOT(ISERROR(SEARCH("SD",J6)))</formula>
    </cfRule>
    <cfRule type="containsText" dxfId="93" priority="4" operator="containsText" text="E3">
      <formula>NOT(ISERROR(SEARCH("E3",J6)))</formula>
    </cfRule>
    <cfRule type="containsText" dxfId="92" priority="5" operator="containsText" text="E2">
      <formula>NOT(ISERROR(SEARCH("E2",J6)))</formula>
    </cfRule>
    <cfRule type="containsText" dxfId="91" priority="6" operator="containsText" text="E1">
      <formula>NOT(ISERROR(SEARCH("E1",J6)))</formula>
    </cfRule>
    <cfRule type="containsText" dxfId="90" priority="7" operator="containsText" text="DO">
      <formula>NOT(ISERROR(SEARCH("DO",J6)))</formula>
    </cfRule>
    <cfRule type="containsText" dxfId="89" priority="8" operator="containsText" text="VA">
      <formula>NOT(ISERROR(SEARCH("VA",J6)))</formula>
    </cfRule>
    <cfRule type="containsText" dxfId="88" priority="9" operator="containsText" text="T1">
      <formula>NOT(ISERROR(SEARCH("T1",J6)))</formula>
    </cfRule>
    <cfRule type="containsText" dxfId="87" priority="10" operator="containsText" text="T2">
      <formula>NOT(ISERROR(SEARCH("T2",J6)))</formula>
    </cfRule>
    <cfRule type="containsText" dxfId="86" priority="11" operator="containsText" text="T3">
      <formula>NOT(ISERROR(SEARCH("T3",J6)))</formula>
    </cfRule>
  </conditionalFormatting>
  <dataValidations count="1">
    <dataValidation type="list" allowBlank="1" showInputMessage="1" showErrorMessage="1" sqref="M5" xr:uid="{AA05D865-8794-4605-B8B3-B6E8C0C64616}">
      <formula1>#REF!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9331E0B-6799-431D-BB9B-F0484F0DF0C7}">
          <x14:formula1>
            <xm:f>Configuração!$N$7:$N$23</xm:f>
          </x14:formula1>
          <xm:sqref>AC6:AD8</xm:sqref>
        </x14:dataValidation>
        <x14:dataValidation type="list" allowBlank="1" showInputMessage="1" showErrorMessage="1" xr:uid="{ED412A16-2385-4EC2-864C-C44CB5500A2B}">
          <x14:formula1>
            <xm:f>Configuração!$N$7:$N$1048576</xm:f>
          </x14:formula1>
          <xm:sqref>P5:P9</xm:sqref>
        </x14:dataValidation>
        <x14:dataValidation type="list" allowBlank="1" showInputMessage="1" showErrorMessage="1" xr:uid="{7DD011DB-66DF-4360-94A1-1DAB036238F7}">
          <x14:formula1>
            <xm:f>Configuração!$U$7:$U$17</xm:f>
          </x14:formula1>
          <xm:sqref>J6</xm:sqref>
        </x14:dataValidation>
        <x14:dataValidation type="list" allowBlank="1" showInputMessage="1" showErrorMessage="1" xr:uid="{4E6E2D48-BE93-4BF5-AC79-9AD9FA0F19A9}">
          <x14:formula1>
            <xm:f>Configuração!$U$7:$U$16</xm:f>
          </x14:formula1>
          <xm:sqref>Z6:Z8 J8:J10 J5 M8:M9</xm:sqref>
        </x14:dataValidation>
        <x14:dataValidation type="list" allowBlank="1" showInputMessage="1" showErrorMessage="1" xr:uid="{F3E41250-E198-4895-8E1A-F8801DB2743E}">
          <x14:formula1>
            <xm:f>Configuração!$L$7:$L$27</xm:f>
          </x14:formula1>
          <xm:sqref>S5:X9 A17:A24</xm:sqref>
        </x14:dataValidation>
        <x14:dataValidation type="list" allowBlank="1" showInputMessage="1" showErrorMessage="1" xr:uid="{09761CCE-5DFD-4C63-9334-B3882922D6A1}">
          <x14:formula1>
            <xm:f>Configuração!$Q$6:$Q$56</xm:f>
          </x14:formula1>
          <xm:sqref>D5:G5</xm:sqref>
        </x14:dataValidation>
        <x14:dataValidation type="list" allowBlank="1" showInputMessage="1" showErrorMessage="1" xr:uid="{CF52842E-2DFE-4494-99D7-B6CD3BEC3BE5}">
          <x14:formula1>
            <xm:f>Configuração!$U$7:$U$22</xm:f>
          </x14:formula1>
          <xm:sqref>B17:AF37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29BC9-9565-47FA-9FB4-FA05A19727CB}">
  <sheetPr codeName="Planilha15"/>
  <dimension ref="A1:AF40"/>
  <sheetViews>
    <sheetView zoomScale="90" zoomScaleNormal="90" workbookViewId="0">
      <selection activeCell="AG1" sqref="AG1"/>
    </sheetView>
  </sheetViews>
  <sheetFormatPr defaultRowHeight="14.4" x14ac:dyDescent="0.3"/>
  <cols>
    <col min="1" max="1" width="11.77734375" bestFit="1" customWidth="1"/>
    <col min="2" max="32" width="6.6640625" customWidth="1"/>
  </cols>
  <sheetData>
    <row r="1" spans="1:32" ht="31.2" x14ac:dyDescent="0.3">
      <c r="A1" s="12"/>
      <c r="B1" s="12"/>
      <c r="C1" s="12"/>
      <c r="D1" s="12"/>
      <c r="E1" s="13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 ht="78.75" customHeight="1" x14ac:dyDescent="0.3">
      <c r="A2" s="14"/>
      <c r="B2" s="14"/>
      <c r="C2" s="14"/>
      <c r="D2" s="14"/>
      <c r="E2" s="1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32" ht="15" hidden="1" thickBot="1" x14ac:dyDescent="0.35">
      <c r="A3" s="8" t="s">
        <v>13</v>
      </c>
      <c r="B3" s="9" t="str">
        <f>IF(MONTH(D5)=5,"FE",IF(MONTH(D5)=1,"FE",""))</f>
        <v/>
      </c>
      <c r="C3" s="10" t="str">
        <f>IF(MONTH(D5)=11,"FE","")</f>
        <v/>
      </c>
      <c r="D3" s="10"/>
      <c r="E3" s="10" t="str">
        <f>IF(MONTH(D5)=3,"FE","")</f>
        <v/>
      </c>
      <c r="F3" s="10"/>
      <c r="G3" s="10"/>
      <c r="H3" s="10" t="str">
        <f>IF(MONTH(D5)=9,"FE","")</f>
        <v/>
      </c>
      <c r="I3" s="10"/>
      <c r="J3" s="10"/>
      <c r="K3" s="10"/>
      <c r="L3" s="10"/>
      <c r="M3" s="10" t="str">
        <f>IF(MONTH(D5)=10,"FE","")</f>
        <v/>
      </c>
      <c r="N3" s="10"/>
      <c r="O3" s="10"/>
      <c r="P3" s="10" t="str">
        <f>IF(MONTH(D5)=11,"FE","")</f>
        <v/>
      </c>
      <c r="Q3" s="10"/>
      <c r="R3" s="10"/>
      <c r="S3" s="10"/>
      <c r="T3" s="10"/>
      <c r="U3" s="10" t="str">
        <f>IF(MONTH(D5)=11,"FE","")</f>
        <v/>
      </c>
      <c r="V3" s="10" t="str">
        <f>IF(MONTH(D5)=4,"FE","")</f>
        <v/>
      </c>
      <c r="W3" s="10"/>
      <c r="X3" s="10"/>
      <c r="Y3" s="10"/>
      <c r="Z3" s="10" t="str">
        <f>IF(MONTH(D5)=12,"FE",IF(MONTH(D5)=1,"FE",""))</f>
        <v>FE</v>
      </c>
      <c r="AA3" s="10"/>
      <c r="AB3" s="10"/>
      <c r="AC3" s="10"/>
      <c r="AD3" s="10"/>
      <c r="AE3" s="10" t="str">
        <f>IF(MONTH(D5)=5,"FE","")</f>
        <v/>
      </c>
      <c r="AF3" s="11"/>
    </row>
    <row r="4" spans="1:3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3">
      <c r="A5" s="1"/>
      <c r="B5" s="72" t="s">
        <v>14</v>
      </c>
      <c r="C5" s="72"/>
      <c r="D5" s="73">
        <v>46357</v>
      </c>
      <c r="E5" s="73"/>
      <c r="F5" s="73"/>
      <c r="G5" s="73"/>
      <c r="H5" s="81" t="s">
        <v>68</v>
      </c>
      <c r="I5" s="82"/>
      <c r="J5" s="17" t="s">
        <v>67</v>
      </c>
      <c r="K5" s="1"/>
      <c r="L5" s="1"/>
      <c r="M5" s="76" t="s">
        <v>3</v>
      </c>
      <c r="N5" s="77" t="s">
        <v>17</v>
      </c>
      <c r="O5" s="77"/>
      <c r="P5" s="75" t="s">
        <v>83</v>
      </c>
      <c r="Q5" s="75"/>
      <c r="R5" s="75"/>
      <c r="S5" s="75" t="s">
        <v>7</v>
      </c>
      <c r="T5" s="75"/>
      <c r="U5" s="75"/>
      <c r="V5" s="75" t="s">
        <v>80</v>
      </c>
      <c r="W5" s="75"/>
      <c r="X5" s="75"/>
      <c r="Y5" s="1"/>
      <c r="Z5" s="80" t="s">
        <v>18</v>
      </c>
      <c r="AA5" s="80"/>
      <c r="AB5" s="80"/>
      <c r="AC5" s="80"/>
      <c r="AD5" s="80"/>
      <c r="AE5" s="1"/>
      <c r="AF5" s="1"/>
    </row>
    <row r="6" spans="1:32" x14ac:dyDescent="0.3">
      <c r="A6" s="1"/>
      <c r="B6" s="72" t="s">
        <v>19</v>
      </c>
      <c r="C6" s="72"/>
      <c r="D6" s="74">
        <f>EOMONTH(D5,0)</f>
        <v>46387</v>
      </c>
      <c r="E6" s="74"/>
      <c r="F6" s="74"/>
      <c r="G6" s="74"/>
      <c r="H6" s="81" t="s">
        <v>82</v>
      </c>
      <c r="I6" s="82"/>
      <c r="J6" s="18" t="s">
        <v>81</v>
      </c>
      <c r="K6" s="1"/>
      <c r="L6" s="1"/>
      <c r="M6" s="76"/>
      <c r="N6" s="77"/>
      <c r="O6" s="77"/>
      <c r="P6" s="75" t="s">
        <v>94</v>
      </c>
      <c r="Q6" s="75"/>
      <c r="R6" s="75"/>
      <c r="S6" s="75" t="s">
        <v>6</v>
      </c>
      <c r="T6" s="75"/>
      <c r="U6" s="75"/>
      <c r="V6" s="75"/>
      <c r="W6" s="75"/>
      <c r="X6" s="75"/>
      <c r="Y6" s="1"/>
      <c r="Z6" s="19" t="s">
        <v>22</v>
      </c>
      <c r="AA6" s="77" t="s">
        <v>23</v>
      </c>
      <c r="AB6" s="77"/>
      <c r="AC6" s="75" t="s">
        <v>83</v>
      </c>
      <c r="AD6" s="75"/>
      <c r="AE6" s="1"/>
      <c r="AF6" s="1"/>
    </row>
    <row r="7" spans="1:32" x14ac:dyDescent="0.3">
      <c r="A7" s="1"/>
      <c r="B7" s="72" t="s">
        <v>24</v>
      </c>
      <c r="C7" s="72"/>
      <c r="D7" s="75">
        <f>DAY(D6)</f>
        <v>31</v>
      </c>
      <c r="E7" s="75"/>
      <c r="F7" s="75"/>
      <c r="G7" s="75"/>
      <c r="H7" s="78" t="s">
        <v>25</v>
      </c>
      <c r="I7" s="79"/>
      <c r="J7" s="19" t="s">
        <v>26</v>
      </c>
      <c r="K7" s="1"/>
      <c r="L7" s="1"/>
      <c r="M7" s="76"/>
      <c r="N7" s="77"/>
      <c r="O7" s="77"/>
      <c r="P7" s="75" t="s">
        <v>27</v>
      </c>
      <c r="Q7" s="75"/>
      <c r="R7" s="75"/>
      <c r="S7" s="75" t="s">
        <v>73</v>
      </c>
      <c r="T7" s="75"/>
      <c r="U7" s="75"/>
      <c r="V7" s="75"/>
      <c r="W7" s="75"/>
      <c r="X7" s="75"/>
      <c r="Y7" s="1"/>
      <c r="Z7" s="19" t="s">
        <v>28</v>
      </c>
      <c r="AA7" s="77" t="s">
        <v>29</v>
      </c>
      <c r="AB7" s="77"/>
      <c r="AC7" s="75" t="s">
        <v>30</v>
      </c>
      <c r="AD7" s="75"/>
      <c r="AE7" s="1"/>
      <c r="AF7" s="1"/>
    </row>
    <row r="8" spans="1:32" x14ac:dyDescent="0.3">
      <c r="A8" s="1"/>
      <c r="B8" s="1"/>
      <c r="C8" s="1"/>
      <c r="D8" s="1"/>
      <c r="E8" s="1"/>
      <c r="F8" s="1"/>
      <c r="G8" s="1"/>
      <c r="H8" s="78" t="s">
        <v>15</v>
      </c>
      <c r="I8" s="79"/>
      <c r="J8" s="19" t="s">
        <v>16</v>
      </c>
      <c r="K8" s="1"/>
      <c r="L8" s="1"/>
      <c r="M8" s="19" t="s">
        <v>8</v>
      </c>
      <c r="N8" s="77" t="s">
        <v>29</v>
      </c>
      <c r="O8" s="77"/>
      <c r="P8" s="75" t="s">
        <v>30</v>
      </c>
      <c r="Q8" s="75"/>
      <c r="R8" s="75"/>
      <c r="S8" s="75" t="s">
        <v>9</v>
      </c>
      <c r="T8" s="75"/>
      <c r="U8" s="75"/>
      <c r="V8" s="75" t="s">
        <v>74</v>
      </c>
      <c r="W8" s="75"/>
      <c r="X8" s="75"/>
      <c r="Y8" s="1"/>
      <c r="Z8" s="19" t="s">
        <v>31</v>
      </c>
      <c r="AA8" s="77" t="s">
        <v>32</v>
      </c>
      <c r="AB8" s="77"/>
      <c r="AC8" s="75" t="s">
        <v>84</v>
      </c>
      <c r="AD8" s="75"/>
      <c r="AE8" s="1"/>
      <c r="AF8" s="1"/>
    </row>
    <row r="9" spans="1:32" x14ac:dyDescent="0.3">
      <c r="A9" s="1"/>
      <c r="B9" s="1"/>
      <c r="C9" s="1"/>
      <c r="D9" s="1"/>
      <c r="E9" s="1"/>
      <c r="F9" s="1"/>
      <c r="G9" s="1"/>
      <c r="H9" s="78" t="s">
        <v>20</v>
      </c>
      <c r="I9" s="79"/>
      <c r="J9" s="19" t="s">
        <v>21</v>
      </c>
      <c r="K9" s="1"/>
      <c r="L9" s="1"/>
      <c r="M9" s="19" t="s">
        <v>11</v>
      </c>
      <c r="N9" s="77" t="s">
        <v>33</v>
      </c>
      <c r="O9" s="77"/>
      <c r="P9" s="75" t="s">
        <v>84</v>
      </c>
      <c r="Q9" s="75"/>
      <c r="R9" s="75"/>
      <c r="S9" s="75" t="s">
        <v>10</v>
      </c>
      <c r="T9" s="75"/>
      <c r="U9" s="75"/>
      <c r="V9" s="75" t="s">
        <v>12</v>
      </c>
      <c r="W9" s="75"/>
      <c r="X9" s="75"/>
      <c r="Y9" s="1"/>
      <c r="Z9" s="1"/>
      <c r="AA9" s="1"/>
      <c r="AB9" s="1"/>
      <c r="AC9" s="1"/>
      <c r="AD9" s="1"/>
      <c r="AE9" s="1"/>
      <c r="AF9" s="1"/>
    </row>
    <row r="10" spans="1:32" x14ac:dyDescent="0.3">
      <c r="A10" s="1"/>
      <c r="B10" s="1"/>
      <c r="C10" s="1"/>
      <c r="D10" s="1"/>
      <c r="E10" s="1"/>
      <c r="F10" s="1"/>
      <c r="G10" s="1"/>
      <c r="H10" s="81" t="s">
        <v>70</v>
      </c>
      <c r="I10" s="82"/>
      <c r="J10" s="19" t="s">
        <v>69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22.8" x14ac:dyDescent="0.3">
      <c r="A14" s="69" t="s">
        <v>0</v>
      </c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1"/>
    </row>
    <row r="15" spans="1:32" x14ac:dyDescent="0.3">
      <c r="A15" s="114" t="s">
        <v>1</v>
      </c>
      <c r="B15" s="20" t="str">
        <f>UPPER(TEXT(B16,"[$]ddd"))</f>
        <v>TER</v>
      </c>
      <c r="C15" s="20" t="str">
        <f t="shared" ref="C15:AF15" si="0">UPPER(TEXT(C16,"[$]ddd"))</f>
        <v>QUA</v>
      </c>
      <c r="D15" s="20" t="str">
        <f t="shared" si="0"/>
        <v>QUI</v>
      </c>
      <c r="E15" s="20" t="str">
        <f t="shared" si="0"/>
        <v>SEX</v>
      </c>
      <c r="F15" s="20" t="str">
        <f t="shared" si="0"/>
        <v>SÁB</v>
      </c>
      <c r="G15" s="20" t="str">
        <f t="shared" si="0"/>
        <v>DOM</v>
      </c>
      <c r="H15" s="20" t="str">
        <f t="shared" si="0"/>
        <v>SEG</v>
      </c>
      <c r="I15" s="20" t="str">
        <f t="shared" si="0"/>
        <v>TER</v>
      </c>
      <c r="J15" s="20" t="str">
        <f t="shared" si="0"/>
        <v>QUA</v>
      </c>
      <c r="K15" s="20" t="str">
        <f t="shared" si="0"/>
        <v>QUI</v>
      </c>
      <c r="L15" s="20" t="str">
        <f t="shared" si="0"/>
        <v>SEX</v>
      </c>
      <c r="M15" s="20" t="str">
        <f t="shared" si="0"/>
        <v>SÁB</v>
      </c>
      <c r="N15" s="20" t="str">
        <f t="shared" si="0"/>
        <v>DOM</v>
      </c>
      <c r="O15" s="20" t="str">
        <f t="shared" si="0"/>
        <v>SEG</v>
      </c>
      <c r="P15" s="20" t="str">
        <f t="shared" si="0"/>
        <v>TER</v>
      </c>
      <c r="Q15" s="20" t="str">
        <f t="shared" si="0"/>
        <v>QUA</v>
      </c>
      <c r="R15" s="20" t="str">
        <f t="shared" si="0"/>
        <v>QUI</v>
      </c>
      <c r="S15" s="20" t="str">
        <f t="shared" si="0"/>
        <v>SEX</v>
      </c>
      <c r="T15" s="20" t="str">
        <f t="shared" si="0"/>
        <v>SÁB</v>
      </c>
      <c r="U15" s="20" t="str">
        <f t="shared" si="0"/>
        <v>DOM</v>
      </c>
      <c r="V15" s="20" t="str">
        <f t="shared" si="0"/>
        <v>SEG</v>
      </c>
      <c r="W15" s="20" t="str">
        <f t="shared" si="0"/>
        <v>TER</v>
      </c>
      <c r="X15" s="20" t="str">
        <f t="shared" si="0"/>
        <v>QUA</v>
      </c>
      <c r="Y15" s="20" t="str">
        <f t="shared" si="0"/>
        <v>QUI</v>
      </c>
      <c r="Z15" s="20" t="str">
        <f t="shared" si="0"/>
        <v>SEX</v>
      </c>
      <c r="AA15" s="20" t="str">
        <f t="shared" si="0"/>
        <v>SÁB</v>
      </c>
      <c r="AB15" s="20" t="str">
        <f t="shared" si="0"/>
        <v>DOM</v>
      </c>
      <c r="AC15" s="20" t="str">
        <f t="shared" si="0"/>
        <v>SEG</v>
      </c>
      <c r="AD15" s="20" t="str">
        <f t="shared" si="0"/>
        <v>TER</v>
      </c>
      <c r="AE15" s="20" t="str">
        <f t="shared" si="0"/>
        <v>QUA</v>
      </c>
      <c r="AF15" s="21" t="str">
        <f t="shared" si="0"/>
        <v>QUI</v>
      </c>
    </row>
    <row r="16" spans="1:32" x14ac:dyDescent="0.3">
      <c r="A16" s="115"/>
      <c r="B16" s="22">
        <f>D5</f>
        <v>46357</v>
      </c>
      <c r="C16" s="23">
        <f>B16+1</f>
        <v>46358</v>
      </c>
      <c r="D16" s="23">
        <f t="shared" ref="D16:AF16" si="1">C16+1</f>
        <v>46359</v>
      </c>
      <c r="E16" s="23">
        <f t="shared" si="1"/>
        <v>46360</v>
      </c>
      <c r="F16" s="23">
        <f t="shared" si="1"/>
        <v>46361</v>
      </c>
      <c r="G16" s="23">
        <f t="shared" si="1"/>
        <v>46362</v>
      </c>
      <c r="H16" s="23">
        <f t="shared" si="1"/>
        <v>46363</v>
      </c>
      <c r="I16" s="23">
        <f t="shared" si="1"/>
        <v>46364</v>
      </c>
      <c r="J16" s="23">
        <f t="shared" si="1"/>
        <v>46365</v>
      </c>
      <c r="K16" s="23">
        <f t="shared" si="1"/>
        <v>46366</v>
      </c>
      <c r="L16" s="23">
        <f t="shared" si="1"/>
        <v>46367</v>
      </c>
      <c r="M16" s="23">
        <f t="shared" si="1"/>
        <v>46368</v>
      </c>
      <c r="N16" s="23">
        <f t="shared" si="1"/>
        <v>46369</v>
      </c>
      <c r="O16" s="23">
        <f t="shared" si="1"/>
        <v>46370</v>
      </c>
      <c r="P16" s="23">
        <f t="shared" si="1"/>
        <v>46371</v>
      </c>
      <c r="Q16" s="23">
        <f t="shared" si="1"/>
        <v>46372</v>
      </c>
      <c r="R16" s="23">
        <f t="shared" si="1"/>
        <v>46373</v>
      </c>
      <c r="S16" s="23">
        <f t="shared" si="1"/>
        <v>46374</v>
      </c>
      <c r="T16" s="23">
        <f t="shared" si="1"/>
        <v>46375</v>
      </c>
      <c r="U16" s="23">
        <f t="shared" si="1"/>
        <v>46376</v>
      </c>
      <c r="V16" s="23">
        <f t="shared" si="1"/>
        <v>46377</v>
      </c>
      <c r="W16" s="23">
        <f t="shared" si="1"/>
        <v>46378</v>
      </c>
      <c r="X16" s="23">
        <f t="shared" si="1"/>
        <v>46379</v>
      </c>
      <c r="Y16" s="23">
        <f t="shared" si="1"/>
        <v>46380</v>
      </c>
      <c r="Z16" s="23">
        <f t="shared" si="1"/>
        <v>46381</v>
      </c>
      <c r="AA16" s="23">
        <f t="shared" si="1"/>
        <v>46382</v>
      </c>
      <c r="AB16" s="23">
        <f t="shared" si="1"/>
        <v>46383</v>
      </c>
      <c r="AC16" s="23">
        <f t="shared" si="1"/>
        <v>46384</v>
      </c>
      <c r="AD16" s="23">
        <f t="shared" si="1"/>
        <v>46385</v>
      </c>
      <c r="AE16" s="23">
        <f t="shared" si="1"/>
        <v>46386</v>
      </c>
      <c r="AF16" s="24">
        <f t="shared" si="1"/>
        <v>46387</v>
      </c>
    </row>
    <row r="17" spans="1:32" x14ac:dyDescent="0.3">
      <c r="A17" s="25" t="s">
        <v>7</v>
      </c>
      <c r="B17" s="19" t="s">
        <v>3</v>
      </c>
      <c r="C17" s="19" t="s">
        <v>3</v>
      </c>
      <c r="D17" s="19" t="s">
        <v>3</v>
      </c>
      <c r="E17" s="19" t="s">
        <v>3</v>
      </c>
      <c r="F17" s="19"/>
      <c r="G17" s="19"/>
      <c r="H17" s="19" t="s">
        <v>3</v>
      </c>
      <c r="I17" s="19" t="s">
        <v>3</v>
      </c>
      <c r="J17" s="19" t="s">
        <v>3</v>
      </c>
      <c r="K17" s="19" t="s">
        <v>3</v>
      </c>
      <c r="L17" s="19" t="s">
        <v>3</v>
      </c>
      <c r="M17" s="19"/>
      <c r="N17" s="19"/>
      <c r="O17" s="19" t="s">
        <v>3</v>
      </c>
      <c r="P17" s="19" t="s">
        <v>3</v>
      </c>
      <c r="Q17" s="19" t="s">
        <v>3</v>
      </c>
      <c r="R17" s="19" t="s">
        <v>3</v>
      </c>
      <c r="S17" s="19" t="s">
        <v>3</v>
      </c>
      <c r="T17" s="19"/>
      <c r="U17" s="19"/>
      <c r="V17" s="19" t="s">
        <v>3</v>
      </c>
      <c r="W17" s="19" t="s">
        <v>3</v>
      </c>
      <c r="X17" s="19" t="s">
        <v>3</v>
      </c>
      <c r="Y17" s="19" t="s">
        <v>3</v>
      </c>
      <c r="Z17" s="19" t="s">
        <v>3</v>
      </c>
      <c r="AA17" s="19"/>
      <c r="AB17" s="19"/>
      <c r="AC17" s="19" t="s">
        <v>3</v>
      </c>
      <c r="AD17" s="19" t="s">
        <v>3</v>
      </c>
      <c r="AE17" s="19" t="s">
        <v>3</v>
      </c>
      <c r="AF17" s="26" t="s">
        <v>3</v>
      </c>
    </row>
    <row r="18" spans="1:32" x14ac:dyDescent="0.3">
      <c r="A18" s="25" t="s">
        <v>80</v>
      </c>
      <c r="B18" s="19" t="s">
        <v>3</v>
      </c>
      <c r="C18" s="19" t="s">
        <v>3</v>
      </c>
      <c r="D18" s="19" t="s">
        <v>3</v>
      </c>
      <c r="E18" s="19" t="s">
        <v>3</v>
      </c>
      <c r="F18" s="19"/>
      <c r="G18" s="19"/>
      <c r="H18" s="19" t="s">
        <v>3</v>
      </c>
      <c r="I18" s="19" t="s">
        <v>3</v>
      </c>
      <c r="J18" s="19" t="s">
        <v>3</v>
      </c>
      <c r="K18" s="19" t="s">
        <v>3</v>
      </c>
      <c r="L18" s="19" t="s">
        <v>3</v>
      </c>
      <c r="M18" s="19"/>
      <c r="N18" s="19"/>
      <c r="O18" s="19" t="s">
        <v>3</v>
      </c>
      <c r="P18" s="19" t="s">
        <v>3</v>
      </c>
      <c r="Q18" s="19" t="s">
        <v>3</v>
      </c>
      <c r="R18" s="19" t="s">
        <v>3</v>
      </c>
      <c r="S18" s="19" t="s">
        <v>3</v>
      </c>
      <c r="T18" s="19"/>
      <c r="U18" s="19"/>
      <c r="V18" s="19" t="s">
        <v>3</v>
      </c>
      <c r="W18" s="19" t="s">
        <v>3</v>
      </c>
      <c r="X18" s="19" t="s">
        <v>3</v>
      </c>
      <c r="Y18" s="19" t="s">
        <v>3</v>
      </c>
      <c r="Z18" s="19" t="s">
        <v>3</v>
      </c>
      <c r="AA18" s="19"/>
      <c r="AB18" s="19"/>
      <c r="AC18" s="19" t="s">
        <v>3</v>
      </c>
      <c r="AD18" s="19" t="s">
        <v>3</v>
      </c>
      <c r="AE18" s="19" t="s">
        <v>3</v>
      </c>
      <c r="AF18" s="26" t="s">
        <v>3</v>
      </c>
    </row>
    <row r="19" spans="1:32" x14ac:dyDescent="0.3">
      <c r="A19" s="25" t="s">
        <v>6</v>
      </c>
      <c r="B19" s="19" t="s">
        <v>3</v>
      </c>
      <c r="C19" s="19" t="s">
        <v>3</v>
      </c>
      <c r="D19" s="19" t="s">
        <v>3</v>
      </c>
      <c r="E19" s="19" t="s">
        <v>3</v>
      </c>
      <c r="F19" s="19"/>
      <c r="G19" s="19"/>
      <c r="H19" s="19" t="s">
        <v>3</v>
      </c>
      <c r="I19" s="19" t="s">
        <v>3</v>
      </c>
      <c r="J19" s="19" t="s">
        <v>3</v>
      </c>
      <c r="K19" s="19" t="s">
        <v>3</v>
      </c>
      <c r="L19" s="19" t="s">
        <v>3</v>
      </c>
      <c r="M19" s="19"/>
      <c r="N19" s="19"/>
      <c r="O19" s="19" t="s">
        <v>3</v>
      </c>
      <c r="P19" s="19" t="s">
        <v>3</v>
      </c>
      <c r="Q19" s="19" t="s">
        <v>3</v>
      </c>
      <c r="R19" s="19" t="s">
        <v>3</v>
      </c>
      <c r="S19" s="19" t="s">
        <v>3</v>
      </c>
      <c r="T19" s="19"/>
      <c r="U19" s="19"/>
      <c r="V19" s="19" t="s">
        <v>3</v>
      </c>
      <c r="W19" s="19" t="s">
        <v>3</v>
      </c>
      <c r="X19" s="19" t="s">
        <v>3</v>
      </c>
      <c r="Y19" s="19" t="s">
        <v>3</v>
      </c>
      <c r="Z19" s="19" t="s">
        <v>3</v>
      </c>
      <c r="AA19" s="19"/>
      <c r="AB19" s="19"/>
      <c r="AC19" s="19" t="s">
        <v>3</v>
      </c>
      <c r="AD19" s="19" t="s">
        <v>3</v>
      </c>
      <c r="AE19" s="19" t="s">
        <v>3</v>
      </c>
      <c r="AF19" s="26" t="s">
        <v>3</v>
      </c>
    </row>
    <row r="20" spans="1:32" x14ac:dyDescent="0.3">
      <c r="A20" s="25" t="s">
        <v>73</v>
      </c>
      <c r="B20" s="19" t="s">
        <v>3</v>
      </c>
      <c r="C20" s="19" t="s">
        <v>3</v>
      </c>
      <c r="D20" s="19" t="s">
        <v>3</v>
      </c>
      <c r="E20" s="19" t="s">
        <v>3</v>
      </c>
      <c r="F20" s="19"/>
      <c r="G20" s="19"/>
      <c r="H20" s="19" t="s">
        <v>3</v>
      </c>
      <c r="I20" s="19" t="s">
        <v>3</v>
      </c>
      <c r="J20" s="19" t="s">
        <v>3</v>
      </c>
      <c r="K20" s="19" t="s">
        <v>3</v>
      </c>
      <c r="L20" s="19" t="s">
        <v>3</v>
      </c>
      <c r="M20" s="19"/>
      <c r="N20" s="19"/>
      <c r="O20" s="19" t="s">
        <v>3</v>
      </c>
      <c r="P20" s="19" t="s">
        <v>3</v>
      </c>
      <c r="Q20" s="19" t="s">
        <v>3</v>
      </c>
      <c r="R20" s="19" t="s">
        <v>3</v>
      </c>
      <c r="S20" s="19" t="s">
        <v>3</v>
      </c>
      <c r="T20" s="19"/>
      <c r="U20" s="19"/>
      <c r="V20" s="19" t="s">
        <v>3</v>
      </c>
      <c r="W20" s="19" t="s">
        <v>3</v>
      </c>
      <c r="X20" s="19" t="s">
        <v>3</v>
      </c>
      <c r="Y20" s="19" t="s">
        <v>3</v>
      </c>
      <c r="Z20" s="19" t="s">
        <v>3</v>
      </c>
      <c r="AA20" s="19"/>
      <c r="AB20" s="19"/>
      <c r="AC20" s="19" t="s">
        <v>3</v>
      </c>
      <c r="AD20" s="19" t="s">
        <v>3</v>
      </c>
      <c r="AE20" s="19" t="s">
        <v>3</v>
      </c>
      <c r="AF20" s="26" t="s">
        <v>3</v>
      </c>
    </row>
    <row r="21" spans="1:32" x14ac:dyDescent="0.3">
      <c r="A21" s="25" t="s">
        <v>9</v>
      </c>
      <c r="B21" s="19" t="s">
        <v>8</v>
      </c>
      <c r="C21" s="19" t="s">
        <v>8</v>
      </c>
      <c r="D21" s="19" t="s">
        <v>8</v>
      </c>
      <c r="E21" s="19" t="s">
        <v>8</v>
      </c>
      <c r="F21" s="19"/>
      <c r="G21" s="19"/>
      <c r="H21" s="19" t="s">
        <v>8</v>
      </c>
      <c r="I21" s="19" t="s">
        <v>8</v>
      </c>
      <c r="J21" s="19" t="s">
        <v>8</v>
      </c>
      <c r="K21" s="19" t="s">
        <v>8</v>
      </c>
      <c r="L21" s="19" t="s">
        <v>8</v>
      </c>
      <c r="M21" s="19"/>
      <c r="N21" s="19"/>
      <c r="O21" s="19" t="s">
        <v>8</v>
      </c>
      <c r="P21" s="19" t="s">
        <v>8</v>
      </c>
      <c r="Q21" s="19" t="s">
        <v>8</v>
      </c>
      <c r="R21" s="19" t="s">
        <v>8</v>
      </c>
      <c r="S21" s="19" t="s">
        <v>8</v>
      </c>
      <c r="T21" s="19"/>
      <c r="U21" s="19"/>
      <c r="V21" s="19" t="s">
        <v>8</v>
      </c>
      <c r="W21" s="19" t="s">
        <v>8</v>
      </c>
      <c r="X21" s="19" t="s">
        <v>8</v>
      </c>
      <c r="Y21" s="19" t="s">
        <v>8</v>
      </c>
      <c r="Z21" s="19" t="s">
        <v>8</v>
      </c>
      <c r="AA21" s="19"/>
      <c r="AB21" s="19"/>
      <c r="AC21" s="19" t="s">
        <v>8</v>
      </c>
      <c r="AD21" s="19" t="s">
        <v>8</v>
      </c>
      <c r="AE21" s="19" t="s">
        <v>8</v>
      </c>
      <c r="AF21" s="26" t="s">
        <v>8</v>
      </c>
    </row>
    <row r="22" spans="1:32" x14ac:dyDescent="0.3">
      <c r="A22" s="25" t="s">
        <v>74</v>
      </c>
      <c r="B22" s="19" t="s">
        <v>8</v>
      </c>
      <c r="C22" s="19" t="s">
        <v>8</v>
      </c>
      <c r="D22" s="19" t="s">
        <v>8</v>
      </c>
      <c r="E22" s="19" t="s">
        <v>8</v>
      </c>
      <c r="F22" s="19"/>
      <c r="G22" s="19"/>
      <c r="H22" s="19" t="s">
        <v>8</v>
      </c>
      <c r="I22" s="19" t="s">
        <v>8</v>
      </c>
      <c r="J22" s="19" t="s">
        <v>8</v>
      </c>
      <c r="K22" s="19" t="s">
        <v>8</v>
      </c>
      <c r="L22" s="19" t="s">
        <v>8</v>
      </c>
      <c r="M22" s="19"/>
      <c r="N22" s="19"/>
      <c r="O22" s="19" t="s">
        <v>8</v>
      </c>
      <c r="P22" s="19" t="s">
        <v>8</v>
      </c>
      <c r="Q22" s="19" t="s">
        <v>8</v>
      </c>
      <c r="R22" s="19" t="s">
        <v>8</v>
      </c>
      <c r="S22" s="19" t="s">
        <v>8</v>
      </c>
      <c r="T22" s="19"/>
      <c r="U22" s="19"/>
      <c r="V22" s="19" t="s">
        <v>8</v>
      </c>
      <c r="W22" s="19" t="s">
        <v>8</v>
      </c>
      <c r="X22" s="19" t="s">
        <v>8</v>
      </c>
      <c r="Y22" s="19" t="s">
        <v>8</v>
      </c>
      <c r="Z22" s="19" t="s">
        <v>8</v>
      </c>
      <c r="AA22" s="19"/>
      <c r="AB22" s="19"/>
      <c r="AC22" s="19" t="s">
        <v>8</v>
      </c>
      <c r="AD22" s="19" t="s">
        <v>8</v>
      </c>
      <c r="AE22" s="19" t="s">
        <v>8</v>
      </c>
      <c r="AF22" s="26" t="s">
        <v>8</v>
      </c>
    </row>
    <row r="23" spans="1:32" x14ac:dyDescent="0.3">
      <c r="A23" s="25" t="s">
        <v>10</v>
      </c>
      <c r="B23" s="19" t="s">
        <v>11</v>
      </c>
      <c r="C23" s="19" t="s">
        <v>11</v>
      </c>
      <c r="D23" s="19" t="s">
        <v>11</v>
      </c>
      <c r="E23" s="19" t="s">
        <v>11</v>
      </c>
      <c r="F23" s="19"/>
      <c r="G23" s="19"/>
      <c r="H23" s="19" t="s">
        <v>11</v>
      </c>
      <c r="I23" s="19" t="s">
        <v>11</v>
      </c>
      <c r="J23" s="19" t="s">
        <v>11</v>
      </c>
      <c r="K23" s="19" t="s">
        <v>11</v>
      </c>
      <c r="L23" s="19" t="s">
        <v>11</v>
      </c>
      <c r="M23" s="19"/>
      <c r="N23" s="19"/>
      <c r="O23" s="19" t="s">
        <v>11</v>
      </c>
      <c r="P23" s="19" t="s">
        <v>11</v>
      </c>
      <c r="Q23" s="19" t="s">
        <v>11</v>
      </c>
      <c r="R23" s="19" t="s">
        <v>11</v>
      </c>
      <c r="S23" s="19" t="s">
        <v>11</v>
      </c>
      <c r="T23" s="19"/>
      <c r="U23" s="19"/>
      <c r="V23" s="19" t="s">
        <v>11</v>
      </c>
      <c r="W23" s="19" t="s">
        <v>11</v>
      </c>
      <c r="X23" s="19" t="s">
        <v>11</v>
      </c>
      <c r="Y23" s="19" t="s">
        <v>11</v>
      </c>
      <c r="Z23" s="19" t="s">
        <v>11</v>
      </c>
      <c r="AA23" s="19"/>
      <c r="AB23" s="19"/>
      <c r="AC23" s="19" t="s">
        <v>11</v>
      </c>
      <c r="AD23" s="19" t="s">
        <v>11</v>
      </c>
      <c r="AE23" s="19" t="s">
        <v>11</v>
      </c>
      <c r="AF23" s="26" t="s">
        <v>11</v>
      </c>
    </row>
    <row r="24" spans="1:32" ht="15" thickBot="1" x14ac:dyDescent="0.35">
      <c r="A24" s="27" t="s">
        <v>12</v>
      </c>
      <c r="B24" s="28" t="s">
        <v>11</v>
      </c>
      <c r="C24" s="28" t="s">
        <v>11</v>
      </c>
      <c r="D24" s="28" t="s">
        <v>11</v>
      </c>
      <c r="E24" s="28" t="s">
        <v>11</v>
      </c>
      <c r="F24" s="28"/>
      <c r="G24" s="28"/>
      <c r="H24" s="28" t="s">
        <v>11</v>
      </c>
      <c r="I24" s="28" t="s">
        <v>11</v>
      </c>
      <c r="J24" s="28" t="s">
        <v>11</v>
      </c>
      <c r="K24" s="28" t="s">
        <v>11</v>
      </c>
      <c r="L24" s="28" t="s">
        <v>11</v>
      </c>
      <c r="M24" s="28"/>
      <c r="N24" s="28"/>
      <c r="O24" s="28" t="s">
        <v>11</v>
      </c>
      <c r="P24" s="28" t="s">
        <v>11</v>
      </c>
      <c r="Q24" s="28" t="s">
        <v>11</v>
      </c>
      <c r="R24" s="28" t="s">
        <v>11</v>
      </c>
      <c r="S24" s="28" t="s">
        <v>11</v>
      </c>
      <c r="T24" s="28"/>
      <c r="U24" s="28"/>
      <c r="V24" s="28" t="s">
        <v>11</v>
      </c>
      <c r="W24" s="28" t="s">
        <v>11</v>
      </c>
      <c r="X24" s="28" t="s">
        <v>11</v>
      </c>
      <c r="Y24" s="28" t="s">
        <v>11</v>
      </c>
      <c r="Z24" s="28" t="s">
        <v>11</v>
      </c>
      <c r="AA24" s="28"/>
      <c r="AB24" s="28"/>
      <c r="AC24" s="28" t="s">
        <v>11</v>
      </c>
      <c r="AD24" s="28" t="s">
        <v>11</v>
      </c>
      <c r="AE24" s="28" t="s">
        <v>11</v>
      </c>
      <c r="AF24" s="29" t="s">
        <v>11</v>
      </c>
    </row>
    <row r="25" spans="1:3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</sheetData>
  <mergeCells count="40">
    <mergeCell ref="S5:U5"/>
    <mergeCell ref="V5:X5"/>
    <mergeCell ref="Z5:AD5"/>
    <mergeCell ref="B6:C6"/>
    <mergeCell ref="D6:G6"/>
    <mergeCell ref="H6:I6"/>
    <mergeCell ref="P6:R6"/>
    <mergeCell ref="S6:U6"/>
    <mergeCell ref="V6:X6"/>
    <mergeCell ref="AA6:AB6"/>
    <mergeCell ref="B5:C5"/>
    <mergeCell ref="D5:G5"/>
    <mergeCell ref="H5:I5"/>
    <mergeCell ref="M5:M7"/>
    <mergeCell ref="N5:O7"/>
    <mergeCell ref="P5:R5"/>
    <mergeCell ref="AC6:AD6"/>
    <mergeCell ref="B7:C7"/>
    <mergeCell ref="D7:G7"/>
    <mergeCell ref="H7:I7"/>
    <mergeCell ref="P7:R7"/>
    <mergeCell ref="S7:U7"/>
    <mergeCell ref="V7:X7"/>
    <mergeCell ref="AA7:AB7"/>
    <mergeCell ref="AC7:AD7"/>
    <mergeCell ref="A15:A16"/>
    <mergeCell ref="H10:I10"/>
    <mergeCell ref="A14:AF14"/>
    <mergeCell ref="AC8:AD8"/>
    <mergeCell ref="H9:I9"/>
    <mergeCell ref="N9:O9"/>
    <mergeCell ref="P9:R9"/>
    <mergeCell ref="S9:U9"/>
    <mergeCell ref="V9:X9"/>
    <mergeCell ref="H8:I8"/>
    <mergeCell ref="N8:O8"/>
    <mergeCell ref="P8:R8"/>
    <mergeCell ref="S8:U8"/>
    <mergeCell ref="V8:X8"/>
    <mergeCell ref="AA8:AB8"/>
  </mergeCells>
  <conditionalFormatting sqref="B3:AF3">
    <cfRule type="containsText" dxfId="85" priority="49" operator="containsText" text="FE">
      <formula>NOT(ISERROR(SEARCH("FE",B3)))</formula>
    </cfRule>
  </conditionalFormatting>
  <conditionalFormatting sqref="B17:AF24">
    <cfRule type="containsText" dxfId="84" priority="12" operator="containsText" text="HB">
      <formula>NOT(ISERROR(SEARCH("HB",B17)))</formula>
    </cfRule>
    <cfRule type="containsText" dxfId="83" priority="33" operator="containsText" text="OT">
      <formula>NOT(ISERROR(SEARCH("OT",B17)))</formula>
    </cfRule>
    <cfRule type="containsText" dxfId="82" priority="34" operator="containsText" text="SD">
      <formula>NOT(ISERROR(SEARCH("SD",B17)))</formula>
    </cfRule>
    <cfRule type="containsText" dxfId="81" priority="35" operator="containsText" text="E3">
      <formula>NOT(ISERROR(SEARCH("E3",B17)))</formula>
    </cfRule>
    <cfRule type="containsText" dxfId="80" priority="36" operator="containsText" text="E2">
      <formula>NOT(ISERROR(SEARCH("E2",B17)))</formula>
    </cfRule>
    <cfRule type="containsText" dxfId="79" priority="37" operator="containsText" text="E1">
      <formula>NOT(ISERROR(SEARCH("E1",B17)))</formula>
    </cfRule>
    <cfRule type="containsText" dxfId="78" priority="44" operator="containsText" text="DO">
      <formula>NOT(ISERROR(SEARCH("DO",B17)))</formula>
    </cfRule>
    <cfRule type="containsText" dxfId="77" priority="45" operator="containsText" text="VA">
      <formula>NOT(ISERROR(SEARCH("VA",B17)))</formula>
    </cfRule>
    <cfRule type="containsText" dxfId="76" priority="46" operator="containsText" text="T1">
      <formula>NOT(ISERROR(SEARCH("T1",B17)))</formula>
    </cfRule>
    <cfRule type="containsText" dxfId="75" priority="47" operator="containsText" text="T2">
      <formula>NOT(ISERROR(SEARCH("T2",B17)))</formula>
    </cfRule>
    <cfRule type="containsText" dxfId="74" priority="48" operator="containsText" text="T3">
      <formula>NOT(ISERROR(SEARCH("T3",B17)))</formula>
    </cfRule>
  </conditionalFormatting>
  <conditionalFormatting sqref="B15:AF15">
    <cfRule type="containsText" dxfId="73" priority="42" operator="containsText" text="DOM">
      <formula>NOT(ISERROR(SEARCH("DOM",B15)))</formula>
    </cfRule>
    <cfRule type="containsText" dxfId="72" priority="43" operator="containsText" text="SÁB">
      <formula>NOT(ISERROR(SEARCH("SÁB",B15)))</formula>
    </cfRule>
  </conditionalFormatting>
  <conditionalFormatting sqref="J7">
    <cfRule type="containsText" dxfId="71" priority="41" operator="containsText" text="FE">
      <formula>NOT(ISERROR(SEARCH("FE",J7)))</formula>
    </cfRule>
  </conditionalFormatting>
  <conditionalFormatting sqref="M5">
    <cfRule type="containsText" dxfId="70" priority="38" operator="containsText" text="T3">
      <formula>NOT(ISERROR(SEARCH("T3",M5)))</formula>
    </cfRule>
    <cfRule type="containsText" dxfId="69" priority="39" operator="containsText" text="T2">
      <formula>NOT(ISERROR(SEARCH("T2",M5)))</formula>
    </cfRule>
    <cfRule type="containsText" dxfId="68" priority="40" operator="containsText" text="T1">
      <formula>NOT(ISERROR(SEARCH("T1",M5)))</formula>
    </cfRule>
  </conditionalFormatting>
  <conditionalFormatting sqref="B16">
    <cfRule type="expression" dxfId="67" priority="50">
      <formula>$B$3="FE"</formula>
    </cfRule>
  </conditionalFormatting>
  <conditionalFormatting sqref="C16">
    <cfRule type="expression" dxfId="66" priority="51">
      <formula>$C$3="FE"</formula>
    </cfRule>
    <cfRule type="expression" dxfId="65" priority="52">
      <formula>$C$3="FE"</formula>
    </cfRule>
  </conditionalFormatting>
  <conditionalFormatting sqref="D16">
    <cfRule type="expression" dxfId="64" priority="53">
      <formula>$D$3="FE"</formula>
    </cfRule>
    <cfRule type="expression" dxfId="63" priority="54">
      <formula>$D$3="FE"</formula>
    </cfRule>
  </conditionalFormatting>
  <conditionalFormatting sqref="F16">
    <cfRule type="expression" dxfId="62" priority="55">
      <formula>$F$3="FE"</formula>
    </cfRule>
    <cfRule type="expression" dxfId="61" priority="56">
      <formula>$F$3="FE"</formula>
    </cfRule>
  </conditionalFormatting>
  <conditionalFormatting sqref="G16">
    <cfRule type="expression" dxfId="60" priority="57">
      <formula>$G$3="FE"</formula>
    </cfRule>
    <cfRule type="expression" dxfId="59" priority="58">
      <formula>$G$3="FE"</formula>
    </cfRule>
  </conditionalFormatting>
  <conditionalFormatting sqref="H16">
    <cfRule type="expression" dxfId="58" priority="59">
      <formula>$H$3="FE"</formula>
    </cfRule>
  </conditionalFormatting>
  <conditionalFormatting sqref="I16">
    <cfRule type="expression" dxfId="57" priority="60">
      <formula>$I$3="FE"</formula>
    </cfRule>
    <cfRule type="expression" dxfId="56" priority="61">
      <formula>$I$3="FE"</formula>
    </cfRule>
  </conditionalFormatting>
  <conditionalFormatting sqref="J16">
    <cfRule type="expression" dxfId="55" priority="62">
      <formula>$J$3="FE"</formula>
    </cfRule>
    <cfRule type="expression" dxfId="54" priority="63">
      <formula>$J$3="FE"</formula>
    </cfRule>
  </conditionalFormatting>
  <conditionalFormatting sqref="K16">
    <cfRule type="expression" dxfId="53" priority="64">
      <formula>$K$3="FE"</formula>
    </cfRule>
  </conditionalFormatting>
  <conditionalFormatting sqref="L16">
    <cfRule type="expression" dxfId="52" priority="65">
      <formula>$L$3="FE"</formula>
    </cfRule>
  </conditionalFormatting>
  <conditionalFormatting sqref="M16">
    <cfRule type="expression" dxfId="51" priority="66">
      <formula>$M$3="FE"</formula>
    </cfRule>
  </conditionalFormatting>
  <conditionalFormatting sqref="N16">
    <cfRule type="expression" dxfId="50" priority="67">
      <formula>$N$3="FE"</formula>
    </cfRule>
  </conditionalFormatting>
  <conditionalFormatting sqref="O16">
    <cfRule type="expression" dxfId="49" priority="68">
      <formula>$O$3="FE"</formula>
    </cfRule>
  </conditionalFormatting>
  <conditionalFormatting sqref="P16">
    <cfRule type="expression" dxfId="48" priority="69">
      <formula>$P$3="FE"</formula>
    </cfRule>
  </conditionalFormatting>
  <conditionalFormatting sqref="Q16">
    <cfRule type="expression" dxfId="47" priority="70">
      <formula>$Q$3="FE"</formula>
    </cfRule>
  </conditionalFormatting>
  <conditionalFormatting sqref="R16">
    <cfRule type="expression" dxfId="46" priority="71">
      <formula>$R$3="FE"</formula>
    </cfRule>
  </conditionalFormatting>
  <conditionalFormatting sqref="S16">
    <cfRule type="expression" dxfId="45" priority="72">
      <formula>$S$3="FE"</formula>
    </cfRule>
  </conditionalFormatting>
  <conditionalFormatting sqref="T16">
    <cfRule type="expression" dxfId="44" priority="73">
      <formula>$T$3="FE"</formula>
    </cfRule>
  </conditionalFormatting>
  <conditionalFormatting sqref="U16">
    <cfRule type="expression" dxfId="43" priority="74">
      <formula>$U$3="FE"</formula>
    </cfRule>
  </conditionalFormatting>
  <conditionalFormatting sqref="V16">
    <cfRule type="expression" dxfId="42" priority="75">
      <formula>$V$3="FE"</formula>
    </cfRule>
  </conditionalFormatting>
  <conditionalFormatting sqref="W16">
    <cfRule type="expression" dxfId="41" priority="76">
      <formula>$W$3="FE"</formula>
    </cfRule>
  </conditionalFormatting>
  <conditionalFormatting sqref="X16">
    <cfRule type="expression" dxfId="40" priority="77">
      <formula>$X$3="FE"</formula>
    </cfRule>
  </conditionalFormatting>
  <conditionalFormatting sqref="Y16">
    <cfRule type="expression" dxfId="39" priority="78">
      <formula>$Y$3="FE"</formula>
    </cfRule>
  </conditionalFormatting>
  <conditionalFormatting sqref="Z16">
    <cfRule type="expression" dxfId="38" priority="79">
      <formula>$Z$3="FE"</formula>
    </cfRule>
  </conditionalFormatting>
  <conditionalFormatting sqref="AA16">
    <cfRule type="expression" dxfId="37" priority="80">
      <formula>$AA$3="FE"</formula>
    </cfRule>
  </conditionalFormatting>
  <conditionalFormatting sqref="AB16">
    <cfRule type="expression" dxfId="36" priority="81">
      <formula>$AB$3="FE"</formula>
    </cfRule>
  </conditionalFormatting>
  <conditionalFormatting sqref="AC16">
    <cfRule type="expression" dxfId="35" priority="82">
      <formula>$AC$3="FE"</formula>
    </cfRule>
  </conditionalFormatting>
  <conditionalFormatting sqref="AD16">
    <cfRule type="expression" dxfId="34" priority="83">
      <formula>$AD$3="FE"</formula>
    </cfRule>
  </conditionalFormatting>
  <conditionalFormatting sqref="AE16">
    <cfRule type="expression" dxfId="33" priority="84">
      <formula>$AE$3="FE"</formula>
    </cfRule>
  </conditionalFormatting>
  <conditionalFormatting sqref="AF16">
    <cfRule type="expression" dxfId="32" priority="85">
      <formula>$AF$3="FE"</formula>
    </cfRule>
  </conditionalFormatting>
  <conditionalFormatting sqref="E16">
    <cfRule type="expression" dxfId="31" priority="86">
      <formula>$E$3="FE"</formula>
    </cfRule>
  </conditionalFormatting>
  <conditionalFormatting sqref="Z6:Z8 J5 J8:J10">
    <cfRule type="containsText" dxfId="30" priority="23" operator="containsText" text="OT">
      <formula>NOT(ISERROR(SEARCH("OT",J5)))</formula>
    </cfRule>
    <cfRule type="containsText" dxfId="29" priority="24" operator="containsText" text="SD">
      <formula>NOT(ISERROR(SEARCH("SD",J5)))</formula>
    </cfRule>
    <cfRule type="containsText" dxfId="28" priority="25" operator="containsText" text="E3">
      <formula>NOT(ISERROR(SEARCH("E3",J5)))</formula>
    </cfRule>
    <cfRule type="containsText" dxfId="27" priority="26" operator="containsText" text="E2">
      <formula>NOT(ISERROR(SEARCH("E2",J5)))</formula>
    </cfRule>
    <cfRule type="containsText" dxfId="26" priority="27" operator="containsText" text="E1">
      <formula>NOT(ISERROR(SEARCH("E1",J5)))</formula>
    </cfRule>
    <cfRule type="containsText" dxfId="25" priority="28" operator="containsText" text="DO">
      <formula>NOT(ISERROR(SEARCH("DO",J5)))</formula>
    </cfRule>
    <cfRule type="containsText" dxfId="24" priority="29" operator="containsText" text="VA">
      <formula>NOT(ISERROR(SEARCH("VA",J5)))</formula>
    </cfRule>
    <cfRule type="containsText" dxfId="23" priority="30" operator="containsText" text="T1">
      <formula>NOT(ISERROR(SEARCH("T1",J5)))</formula>
    </cfRule>
    <cfRule type="containsText" dxfId="22" priority="31" operator="containsText" text="T2">
      <formula>NOT(ISERROR(SEARCH("T2",J5)))</formula>
    </cfRule>
    <cfRule type="containsText" dxfId="21" priority="32" operator="containsText" text="T3">
      <formula>NOT(ISERROR(SEARCH("T3",J5)))</formula>
    </cfRule>
  </conditionalFormatting>
  <conditionalFormatting sqref="M8:M9">
    <cfRule type="containsText" dxfId="20" priority="13" operator="containsText" text="OT">
      <formula>NOT(ISERROR(SEARCH("OT",M8)))</formula>
    </cfRule>
    <cfRule type="containsText" dxfId="19" priority="14" operator="containsText" text="SD">
      <formula>NOT(ISERROR(SEARCH("SD",M8)))</formula>
    </cfRule>
    <cfRule type="containsText" dxfId="18" priority="15" operator="containsText" text="E3">
      <formula>NOT(ISERROR(SEARCH("E3",M8)))</formula>
    </cfRule>
    <cfRule type="containsText" dxfId="17" priority="16" operator="containsText" text="E2">
      <formula>NOT(ISERROR(SEARCH("E2",M8)))</formula>
    </cfRule>
    <cfRule type="containsText" dxfId="16" priority="17" operator="containsText" text="E1">
      <formula>NOT(ISERROR(SEARCH("E1",M8)))</formula>
    </cfRule>
    <cfRule type="containsText" dxfId="15" priority="18" operator="containsText" text="DO">
      <formula>NOT(ISERROR(SEARCH("DO",M8)))</formula>
    </cfRule>
    <cfRule type="containsText" dxfId="14" priority="19" operator="containsText" text="VA">
      <formula>NOT(ISERROR(SEARCH("VA",M8)))</formula>
    </cfRule>
    <cfRule type="containsText" dxfId="13" priority="20" operator="containsText" text="T1">
      <formula>NOT(ISERROR(SEARCH("T1",M8)))</formula>
    </cfRule>
    <cfRule type="containsText" dxfId="12" priority="21" operator="containsText" text="T2">
      <formula>NOT(ISERROR(SEARCH("T2",M8)))</formula>
    </cfRule>
    <cfRule type="containsText" dxfId="11" priority="22" operator="containsText" text="T3">
      <formula>NOT(ISERROR(SEARCH("T3",M8)))</formula>
    </cfRule>
  </conditionalFormatting>
  <conditionalFormatting sqref="J6">
    <cfRule type="containsText" dxfId="10" priority="1" operator="containsText" text="HB">
      <formula>NOT(ISERROR(SEARCH("HB",J6)))</formula>
    </cfRule>
    <cfRule type="containsText" dxfId="9" priority="2" operator="containsText" text="OT">
      <formula>NOT(ISERROR(SEARCH("OT",J6)))</formula>
    </cfRule>
    <cfRule type="containsText" dxfId="8" priority="3" operator="containsText" text="SD">
      <formula>NOT(ISERROR(SEARCH("SD",J6)))</formula>
    </cfRule>
    <cfRule type="containsText" dxfId="7" priority="4" operator="containsText" text="E3">
      <formula>NOT(ISERROR(SEARCH("E3",J6)))</formula>
    </cfRule>
    <cfRule type="containsText" dxfId="6" priority="5" operator="containsText" text="E2">
      <formula>NOT(ISERROR(SEARCH("E2",J6)))</formula>
    </cfRule>
    <cfRule type="containsText" dxfId="5" priority="6" operator="containsText" text="E1">
      <formula>NOT(ISERROR(SEARCH("E1",J6)))</formula>
    </cfRule>
    <cfRule type="containsText" dxfId="4" priority="7" operator="containsText" text="DO">
      <formula>NOT(ISERROR(SEARCH("DO",J6)))</formula>
    </cfRule>
    <cfRule type="containsText" dxfId="3" priority="8" operator="containsText" text="VA">
      <formula>NOT(ISERROR(SEARCH("VA",J6)))</formula>
    </cfRule>
    <cfRule type="containsText" dxfId="2" priority="9" operator="containsText" text="T1">
      <formula>NOT(ISERROR(SEARCH("T1",J6)))</formula>
    </cfRule>
    <cfRule type="containsText" dxfId="1" priority="10" operator="containsText" text="T2">
      <formula>NOT(ISERROR(SEARCH("T2",J6)))</formula>
    </cfRule>
    <cfRule type="containsText" dxfId="0" priority="11" operator="containsText" text="T3">
      <formula>NOT(ISERROR(SEARCH("T3",J6)))</formula>
    </cfRule>
  </conditionalFormatting>
  <dataValidations count="1">
    <dataValidation type="list" allowBlank="1" showInputMessage="1" showErrorMessage="1" sqref="M5" xr:uid="{33D0B072-89E4-4DFB-BB1D-A4CA9E179C6A}">
      <formula1>#REF!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0043FC3-BE25-44A8-9275-292ECDD70E46}">
          <x14:formula1>
            <xm:f>Configuração!$N$7:$N$23</xm:f>
          </x14:formula1>
          <xm:sqref>AC6:AD8</xm:sqref>
        </x14:dataValidation>
        <x14:dataValidation type="list" allowBlank="1" showInputMessage="1" showErrorMessage="1" xr:uid="{9A71D296-2542-4EA4-8C73-161D34F29470}">
          <x14:formula1>
            <xm:f>Configuração!$N$7:$N$1048576</xm:f>
          </x14:formula1>
          <xm:sqref>P5:P9</xm:sqref>
        </x14:dataValidation>
        <x14:dataValidation type="list" allowBlank="1" showInputMessage="1" showErrorMessage="1" xr:uid="{0AC6F7B6-B24A-4BFA-892E-0F69D0436A78}">
          <x14:formula1>
            <xm:f>Configuração!$U$7:$U$17</xm:f>
          </x14:formula1>
          <xm:sqref>J6</xm:sqref>
        </x14:dataValidation>
        <x14:dataValidation type="list" allowBlank="1" showInputMessage="1" showErrorMessage="1" xr:uid="{E37792B4-9367-434D-86A5-0A623818CF2A}">
          <x14:formula1>
            <xm:f>Configuração!$U$7:$U$16</xm:f>
          </x14:formula1>
          <xm:sqref>Z6:Z8 J8:J10 J5 M8:M9</xm:sqref>
        </x14:dataValidation>
        <x14:dataValidation type="list" allowBlank="1" showInputMessage="1" showErrorMessage="1" xr:uid="{228D134A-5648-4F5A-A558-16136A851E96}">
          <x14:formula1>
            <xm:f>Configuração!$L$7:$L$27</xm:f>
          </x14:formula1>
          <xm:sqref>S5:X9 A17:A24</xm:sqref>
        </x14:dataValidation>
        <x14:dataValidation type="list" allowBlank="1" showInputMessage="1" showErrorMessage="1" xr:uid="{77E0571B-82FF-4412-8CD1-7A7505CA029C}">
          <x14:formula1>
            <xm:f>Configuração!$Q$6:$Q$56</xm:f>
          </x14:formula1>
          <xm:sqref>D5:G5</xm:sqref>
        </x14:dataValidation>
        <x14:dataValidation type="list" allowBlank="1" showInputMessage="1" showErrorMessage="1" xr:uid="{8F7DF4E5-9FBA-463C-9809-ABA3CA386EFF}">
          <x14:formula1>
            <xm:f>Configuração!$U$7:$U$22</xm:f>
          </x14:formula1>
          <xm:sqref>B17:AF37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9265db3-723f-4df1-8e79-aa37b2a68f59" xsi:nil="true"/>
    <lcf76f155ced4ddcb4097134ff3c332f xmlns="fbb26071-cac6-4f9b-b632-559643ce7d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2BC49CF0EBA94E98E1C39E3B97F7D7" ma:contentTypeVersion="14" ma:contentTypeDescription="Create a new document." ma:contentTypeScope="" ma:versionID="4b594a121e2bc88a456f65e90059190b">
  <xsd:schema xmlns:xsd="http://www.w3.org/2001/XMLSchema" xmlns:xs="http://www.w3.org/2001/XMLSchema" xmlns:p="http://schemas.microsoft.com/office/2006/metadata/properties" xmlns:ns2="fbb26071-cac6-4f9b-b632-559643ce7d78" xmlns:ns3="c9265db3-723f-4df1-8e79-aa37b2a68f59" targetNamespace="http://schemas.microsoft.com/office/2006/metadata/properties" ma:root="true" ma:fieldsID="46cb94fb764c8c4d6029b6b1a8618399" ns2:_="" ns3:_="">
    <xsd:import namespace="fbb26071-cac6-4f9b-b632-559643ce7d78"/>
    <xsd:import namespace="c9265db3-723f-4df1-8e79-aa37b2a68f59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b26071-cac6-4f9b-b632-559643ce7d7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2bfda26-245a-4f34-91e1-e09bb8181d9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265db3-723f-4df1-8e79-aa37b2a68f59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56ddf853-0640-4736-93ba-749ad314cf34}" ma:internalName="TaxCatchAll" ma:showField="CatchAllData" ma:web="c9265db3-723f-4df1-8e79-aa37b2a68f5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1BF9301-C6A8-4EA4-88C3-0B91D4920CC4}">
  <ds:schemaRefs>
    <ds:schemaRef ds:uri="http://schemas.microsoft.com/office/2006/metadata/properties"/>
    <ds:schemaRef ds:uri="http://purl.org/dc/dcmitype/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c9265db3-723f-4df1-8e79-aa37b2a68f59"/>
    <ds:schemaRef ds:uri="http://schemas.openxmlformats.org/package/2006/metadata/core-properties"/>
    <ds:schemaRef ds:uri="fbb26071-cac6-4f9b-b632-559643ce7d78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43062A21-7E0B-4793-9C57-96EEF2DE50F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1628F6-C85C-435C-BC73-BFEAC70315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b26071-cac6-4f9b-b632-559643ce7d78"/>
    <ds:schemaRef ds:uri="c9265db3-723f-4df1-8e79-aa37b2a68f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d01bd758-b551-44c1-9ff0-bfb97d6506cf}" enabled="1" method="Privileged" siteId="{e4887a3f-3430-4af1-894f-f071207c080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Escala</vt:lpstr>
      <vt:lpstr>Configuração</vt:lpstr>
      <vt:lpstr>Dashboard</vt:lpstr>
      <vt:lpstr>Ajuda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Luciano Guilherme da Costa Olegário</dc:creator>
  <cp:keywords/>
  <dc:description/>
  <cp:lastModifiedBy>Luciano Guilherme da Costa Olegário</cp:lastModifiedBy>
  <cp:revision/>
  <cp:lastPrinted>2025-02-21T20:18:26Z</cp:lastPrinted>
  <dcterms:created xsi:type="dcterms:W3CDTF">2024-04-09T06:23:04Z</dcterms:created>
  <dcterms:modified xsi:type="dcterms:W3CDTF">2025-06-05T16:45:23Z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0x0101001F2BC49CF0EBA94E98E1C39E3B97F7D7</vt:lpwstr>
  </property>
  <property fmtid="{D5CDD505-2E9C-101B-9397-08002B2CF9AE}" pid="3" name="MediaServiceImageTags">
    <vt:lpwstr/>
  </property>
  <property fmtid="{D5CDD505-2E9C-101B-9397-08002B2CF9AE}" pid="4" name="MSIP_Label_75101977-308a-41cc-95bc-eced12818904_Enabled">
    <vt:lpwstr>true</vt:lpwstr>
  </property>
  <property fmtid="{D5CDD505-2E9C-101B-9397-08002B2CF9AE}" pid="5" name="MSIP_Label_75101977-308a-41cc-95bc-eced12818904_SetDate">
    <vt:lpwstr>2024-11-14T18:06:52Z</vt:lpwstr>
  </property>
  <property fmtid="{D5CDD505-2E9C-101B-9397-08002B2CF9AE}" pid="6" name="MSIP_Label_75101977-308a-41cc-95bc-eced12818904_Method">
    <vt:lpwstr>Privileged</vt:lpwstr>
  </property>
  <property fmtid="{D5CDD505-2E9C-101B-9397-08002B2CF9AE}" pid="7" name="MSIP_Label_75101977-308a-41cc-95bc-eced12818904_Name">
    <vt:lpwstr>Interno</vt:lpwstr>
  </property>
  <property fmtid="{D5CDD505-2E9C-101B-9397-08002B2CF9AE}" pid="8" name="MSIP_Label_75101977-308a-41cc-95bc-eced12818904_SiteId">
    <vt:lpwstr>e4887a3f-3430-4af1-894f-f071207c0806</vt:lpwstr>
  </property>
  <property fmtid="{D5CDD505-2E9C-101B-9397-08002B2CF9AE}" pid="9" name="MSIP_Label_75101977-308a-41cc-95bc-eced12818904_ActionId">
    <vt:lpwstr>229c2628-44cf-43f8-b32d-ba1cc7d5c8c3</vt:lpwstr>
  </property>
  <property fmtid="{D5CDD505-2E9C-101B-9397-08002B2CF9AE}" pid="10" name="MSIP_Label_75101977-308a-41cc-95bc-eced12818904_ContentBits">
    <vt:lpwstr>8</vt:lpwstr>
  </property>
</Properties>
</file>